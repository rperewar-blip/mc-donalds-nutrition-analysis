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ere\Downloads\"/>
    </mc:Choice>
  </mc:AlternateContent>
  <xr:revisionPtr revIDLastSave="0" documentId="8_{37AA8F51-6462-4A5E-A940-BB033380FB14}" xr6:coauthVersionLast="47" xr6:coauthVersionMax="47" xr10:uidLastSave="{00000000-0000-0000-0000-000000000000}"/>
  <bookViews>
    <workbookView xWindow="-108" yWindow="-108" windowWidth="23256" windowHeight="12456" firstSheet="8" activeTab="9" xr2:uid="{3AB4FC00-3F5B-442C-8FE8-C7D9375E5B63}"/>
  </bookViews>
  <sheets>
    <sheet name="Sheet2" sheetId="3" r:id="rId1"/>
    <sheet name="Sheet9" sheetId="10" r:id="rId2"/>
    <sheet name="jj" sheetId="9" r:id="rId3"/>
    <sheet name="smoothies and shakes" sheetId="17" r:id="rId4"/>
    <sheet name="coffee and tea" sheetId="16" r:id="rId5"/>
    <sheet name="dessert" sheetId="15" r:id="rId6"/>
    <sheet name="snacks and sides" sheetId="14" r:id="rId7"/>
    <sheet name="salads" sheetId="13" r:id="rId8"/>
    <sheet name="breakfast" sheetId="11" r:id="rId9"/>
    <sheet name="Sheet4" sheetId="5" r:id="rId10"/>
    <sheet name="beef and pork" sheetId="12" r:id="rId11"/>
    <sheet name="Sheet1" sheetId="2" r:id="rId12"/>
  </sheets>
  <calcPr calcId="0"/>
  <pivotCaches>
    <pivotCache cacheId="3" r:id="rId13"/>
  </pivotCaches>
</workbook>
</file>

<file path=xl/calcChain.xml><?xml version="1.0" encoding="utf-8"?>
<calcChain xmlns="http://schemas.openxmlformats.org/spreadsheetml/2006/main">
  <c r="R3" i="11" l="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R2" i="11"/>
  <c r="Q2" i="11"/>
  <c r="P2" i="11"/>
  <c r="O2" i="11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1" i="17"/>
  <c r="L95" i="16"/>
  <c r="L94" i="16"/>
  <c r="L93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1" i="16"/>
  <c r="L7" i="15"/>
  <c r="L6" i="15"/>
  <c r="L5" i="15"/>
  <c r="L4" i="15"/>
  <c r="L3" i="15"/>
  <c r="L2" i="15"/>
  <c r="L1" i="15"/>
  <c r="L13" i="14"/>
  <c r="L12" i="14"/>
  <c r="L11" i="14"/>
  <c r="L10" i="14"/>
  <c r="L9" i="14"/>
  <c r="L8" i="14"/>
  <c r="L7" i="14"/>
  <c r="L6" i="14"/>
  <c r="L5" i="14"/>
  <c r="L4" i="14"/>
  <c r="L3" i="14"/>
  <c r="L2" i="14"/>
  <c r="L1" i="14"/>
  <c r="L6" i="13"/>
  <c r="L5" i="13"/>
  <c r="L4" i="13"/>
  <c r="L3" i="13"/>
  <c r="L2" i="13"/>
  <c r="L1" i="13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1" i="12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" i="9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E9" i="2"/>
  <c r="D10" i="2"/>
  <c r="C10" i="2"/>
  <c r="B10" i="2"/>
  <c r="F9" i="2"/>
  <c r="D9" i="2"/>
  <c r="C9" i="2"/>
  <c r="B9" i="2"/>
  <c r="F8" i="2" l="1"/>
  <c r="E8" i="2"/>
  <c r="D8" i="2"/>
  <c r="C8" i="2"/>
  <c r="B8" i="2"/>
  <c r="D7" i="2"/>
  <c r="F7" i="2"/>
  <c r="E7" i="2"/>
  <c r="D6" i="2"/>
  <c r="C7" i="2"/>
  <c r="B7" i="2"/>
  <c r="F6" i="2"/>
  <c r="E6" i="2"/>
  <c r="C6" i="2"/>
  <c r="B6" i="2"/>
  <c r="F5" i="2"/>
  <c r="E5" i="2"/>
  <c r="D5" i="2"/>
  <c r="C5" i="2"/>
  <c r="F4" i="2"/>
  <c r="C4" i="2"/>
  <c r="D4" i="2"/>
  <c r="E4" i="2"/>
  <c r="B5" i="2"/>
  <c r="B4" i="2"/>
  <c r="F3" i="2"/>
  <c r="E3" i="2"/>
  <c r="D3" i="2"/>
  <c r="C3" i="2"/>
  <c r="B3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<sst xmlns="http://schemas.openxmlformats.org/spreadsheetml/2006/main" count="1946" uniqueCount="428">
  <si>
    <t>Category</t>
  </si>
  <si>
    <t>Item</t>
  </si>
  <si>
    <t>Serving Size</t>
  </si>
  <si>
    <t>Calories</t>
  </si>
  <si>
    <t>Calories from Fat</t>
  </si>
  <si>
    <t>Total Fat</t>
  </si>
  <si>
    <t>Total Fat (% Daily Value)</t>
  </si>
  <si>
    <t>Saturated Fat</t>
  </si>
  <si>
    <t>Saturated Fat (% Daily Value)</t>
  </si>
  <si>
    <t>Trans Fat</t>
  </si>
  <si>
    <t>Cholesterol</t>
  </si>
  <si>
    <t>Sodium</t>
  </si>
  <si>
    <t>Carbohydrates</t>
  </si>
  <si>
    <t>Sugars</t>
  </si>
  <si>
    <t>Protein</t>
  </si>
  <si>
    <t>Calcium (% Daily Value)</t>
  </si>
  <si>
    <t>Iron (% Daily Value)</t>
  </si>
  <si>
    <t>Breakfast</t>
  </si>
  <si>
    <t>Egg McMuffin</t>
  </si>
  <si>
    <t>4.8 oz (136 g)</t>
  </si>
  <si>
    <t>Egg White Delight</t>
  </si>
  <si>
    <t>4.8 oz (135 g)</t>
  </si>
  <si>
    <t>Sausage McMuffin</t>
  </si>
  <si>
    <t>3.9 oz (111 g)</t>
  </si>
  <si>
    <t>Sausage McMuffin with Egg</t>
  </si>
  <si>
    <t>5.7 oz (161 g)</t>
  </si>
  <si>
    <t>Sausage McMuffin with Egg Whites</t>
  </si>
  <si>
    <t>Steak &amp; Egg McMuffin</t>
  </si>
  <si>
    <t>6.5 oz (185 g)</t>
  </si>
  <si>
    <t>Bacon, Egg &amp; Cheese Biscuit (Regular Biscuit)</t>
  </si>
  <si>
    <t>5.3 oz (150 g)</t>
  </si>
  <si>
    <t>Bacon, Egg &amp; Cheese Biscuit (Large Biscuit)</t>
  </si>
  <si>
    <t>5.8 oz (164 g)</t>
  </si>
  <si>
    <t>Bacon, Egg &amp; Cheese Biscuit with Egg Whites (Regular Biscuit)</t>
  </si>
  <si>
    <t>5.4 oz (153 g)</t>
  </si>
  <si>
    <t>Bacon, Egg &amp; Cheese Biscuit with Egg Whites (Large Biscuit)</t>
  </si>
  <si>
    <t>5.9 oz (167 g)</t>
  </si>
  <si>
    <t>Sausage Biscuit (Regular Biscuit)</t>
  </si>
  <si>
    <t>4.1 oz (117 g)</t>
  </si>
  <si>
    <t>Sausage Biscuit (Large Biscuit)</t>
  </si>
  <si>
    <t>4.6 oz (131 g)</t>
  </si>
  <si>
    <t>Sausage Biscuit with Egg (Regular Biscuit)</t>
  </si>
  <si>
    <t>5.7 oz (163 g)</t>
  </si>
  <si>
    <t>Sausage Biscuit with Egg (Large Biscuit)</t>
  </si>
  <si>
    <t>6.2 oz (177 g)</t>
  </si>
  <si>
    <t>Sausage Biscuit with Egg Whites (Regular Biscuit)</t>
  </si>
  <si>
    <t>Sausage Biscuit with Egg Whites (Large Biscuit)</t>
  </si>
  <si>
    <t>6.4 oz (181 g)</t>
  </si>
  <si>
    <t>Southern Style Chicken Biscuit (Regular Biscuit)</t>
  </si>
  <si>
    <t>5 oz (143 g)</t>
  </si>
  <si>
    <t>Southern Style Chicken Biscuit (Large Biscuit)</t>
  </si>
  <si>
    <t>5.5 oz (157 g)</t>
  </si>
  <si>
    <t>Steak &amp; Egg Biscuit (Regular Biscuit)</t>
  </si>
  <si>
    <t>7.1 oz (201 g)</t>
  </si>
  <si>
    <t>Bacon, Egg &amp; Cheese McGriddles</t>
  </si>
  <si>
    <t>6.1 oz (174 g)</t>
  </si>
  <si>
    <t>Bacon, Egg &amp; Cheese McGriddles with Egg Whites</t>
  </si>
  <si>
    <t>6.3 oz (178 g)</t>
  </si>
  <si>
    <t>Sausage McGriddles</t>
  </si>
  <si>
    <t>5 oz (141 g)</t>
  </si>
  <si>
    <t>Sausage, Egg &amp; Cheese McGriddles</t>
  </si>
  <si>
    <t>Sausage, Egg &amp; Cheese McGriddles with Egg Whites</t>
  </si>
  <si>
    <t>7.2 oz (205 g)</t>
  </si>
  <si>
    <t>Bacon, Egg &amp; Cheese Bagel</t>
  </si>
  <si>
    <t>6.9 oz (197 g)</t>
  </si>
  <si>
    <t>Bacon, Egg &amp; Cheese Bagel with Egg Whites</t>
  </si>
  <si>
    <t>Steak, Egg &amp; Cheese Bagel</t>
  </si>
  <si>
    <t>8.5 oz (241 g)</t>
  </si>
  <si>
    <t>Big Breakfast (Regular Biscuit)</t>
  </si>
  <si>
    <t>9.5 oz (269 g)</t>
  </si>
  <si>
    <t>Big Breakfast (Large Biscuit)</t>
  </si>
  <si>
    <t>10 oz (283 g)</t>
  </si>
  <si>
    <t>Big Breakfast with Egg Whites (Regular Biscuit)</t>
  </si>
  <si>
    <t>9.6 oz (272 g)</t>
  </si>
  <si>
    <t>Big Breakfast with Egg Whites (Large Biscuit)</t>
  </si>
  <si>
    <t>10.1 oz (286 g)</t>
  </si>
  <si>
    <t>Big Breakfast with Hotcakes (Regular Biscuit)</t>
  </si>
  <si>
    <t>14.8 oz (420 g)</t>
  </si>
  <si>
    <t>Big Breakfast with Hotcakes (Large Biscuit)</t>
  </si>
  <si>
    <t>15.3 oz (434 g)</t>
  </si>
  <si>
    <t>Big Breakfast with Hotcakes and Egg Whites (Regular Biscuit)</t>
  </si>
  <si>
    <t>14.9 oz (423 g)</t>
  </si>
  <si>
    <t>Big Breakfast with Hotcakes and Egg Whites (Large Biscuit)</t>
  </si>
  <si>
    <t>15.4 oz (437 g)</t>
  </si>
  <si>
    <t>Hotcakes</t>
  </si>
  <si>
    <t>5.3 oz (151 g)</t>
  </si>
  <si>
    <t>Hotcakes and Sausage</t>
  </si>
  <si>
    <t>6.8 oz (192 g)</t>
  </si>
  <si>
    <t>Sausage Burrito</t>
  </si>
  <si>
    <t>Hash Brown</t>
  </si>
  <si>
    <t>2 oz (56 g)</t>
  </si>
  <si>
    <t>Cinnamon Melts</t>
  </si>
  <si>
    <t>4 oz (114 g)</t>
  </si>
  <si>
    <t>Fruit &amp; Maple Oatmeal</t>
  </si>
  <si>
    <t>9.6 oz (251 g)</t>
  </si>
  <si>
    <t>Fruit &amp; Maple Oatmeal without Brown Sugar</t>
  </si>
  <si>
    <t>Beef &amp; Pork</t>
  </si>
  <si>
    <t>Big Mac</t>
  </si>
  <si>
    <t>7.4 oz (211 g)</t>
  </si>
  <si>
    <t>Quarter Pounder with Cheese</t>
  </si>
  <si>
    <t>7.1 oz (202 g)</t>
  </si>
  <si>
    <t>Quarter Pounder with Bacon &amp; Cheese</t>
  </si>
  <si>
    <t>8 oz (227 g)</t>
  </si>
  <si>
    <t>Quarter Pounder with Bacon Habanero Ranch</t>
  </si>
  <si>
    <t>8.3 oz (235 g)</t>
  </si>
  <si>
    <t>Quarter Pounder Deluxe</t>
  </si>
  <si>
    <t>8.6 oz (244 g)</t>
  </si>
  <si>
    <t>Double Quarter Pounder with Cheese</t>
  </si>
  <si>
    <t>Hamburger</t>
  </si>
  <si>
    <t>3.5 oz (98 g)</t>
  </si>
  <si>
    <t>Cheeseburger</t>
  </si>
  <si>
    <t>4 oz (113 g)</t>
  </si>
  <si>
    <t>Double Cheeseburger</t>
  </si>
  <si>
    <t>Bacon Clubhouse Burger</t>
  </si>
  <si>
    <t>9.5 oz (270 g)</t>
  </si>
  <si>
    <t>McDouble</t>
  </si>
  <si>
    <t>5.2 oz (147 g)</t>
  </si>
  <si>
    <t>Bacon McDouble</t>
  </si>
  <si>
    <t>Daily Double</t>
  </si>
  <si>
    <t>6.7 oz (190 g)</t>
  </si>
  <si>
    <t>JalapeÃ±o Double</t>
  </si>
  <si>
    <t>5.6 oz (159 g)</t>
  </si>
  <si>
    <t>McRib</t>
  </si>
  <si>
    <t>7.3 oz (208 g)</t>
  </si>
  <si>
    <t>Chicken &amp; Fish</t>
  </si>
  <si>
    <t>Premium Crispy Chicken Classic Sandwich</t>
  </si>
  <si>
    <t>7.5 oz (213 g)</t>
  </si>
  <si>
    <t>Premium Grilled Chicken Classic Sandwich</t>
  </si>
  <si>
    <t>7 oz (200 g)</t>
  </si>
  <si>
    <t>Premium Crispy Chicken Club Sandwich</t>
  </si>
  <si>
    <t>8.8 oz (249 g)</t>
  </si>
  <si>
    <t>Premium Grilled Chicken Club Sandwich</t>
  </si>
  <si>
    <t>Premium Crispy Chicken Ranch BLT Sandwich</t>
  </si>
  <si>
    <t>8.1 oz (230 g)</t>
  </si>
  <si>
    <t>Premium Grilled Chicken Ranch BLT Sandwich</t>
  </si>
  <si>
    <t>7.6 oz (217 g)</t>
  </si>
  <si>
    <t>Bacon Clubhouse Crispy Chicken Sandwich</t>
  </si>
  <si>
    <t>10 oz (284 g)</t>
  </si>
  <si>
    <t>Bacon Clubhouse Grilled Chicken Sandwich</t>
  </si>
  <si>
    <t>Southern Style Crispy Chicken Sandwich</t>
  </si>
  <si>
    <t>5.6 oz (160 g)</t>
  </si>
  <si>
    <t>McChicken</t>
  </si>
  <si>
    <t>5.1 oz (143 g)</t>
  </si>
  <si>
    <t>Bacon Cheddar McChicken</t>
  </si>
  <si>
    <t>6 oz (171 g)</t>
  </si>
  <si>
    <t>Bacon Buffalo Ranch McChicken</t>
  </si>
  <si>
    <t>Buffalo Ranch McChicken</t>
  </si>
  <si>
    <t>5.2 oz (148 g)</t>
  </si>
  <si>
    <t>Premium McWrap Chicken &amp; Bacon (Crispy Chicken)</t>
  </si>
  <si>
    <t>11.1 oz (316 g)</t>
  </si>
  <si>
    <t>Premium McWrap Chicken &amp; Bacon (Grilled Chicken)</t>
  </si>
  <si>
    <t>10.7 oz (302 g)</t>
  </si>
  <si>
    <t>Premium McWrap Chicken &amp; Ranch (Crispy Chicken)</t>
  </si>
  <si>
    <t>10.9 oz (310 g)</t>
  </si>
  <si>
    <t>Premium McWrap Chicken &amp; Ranch (Grilled Chicken)</t>
  </si>
  <si>
    <t>10.5 oz (297 g)</t>
  </si>
  <si>
    <t>Premium McWrap Southwest Chicken (Crispy Chicken)</t>
  </si>
  <si>
    <t>11.1 oz (314 g)</t>
  </si>
  <si>
    <t>Premium McWrap Southwest Chicken (Grilled Chicken)</t>
  </si>
  <si>
    <t>11.2 oz (318 g)</t>
  </si>
  <si>
    <t>Premium McWrap Chicken Sweet Chili (Crispy Chicken)</t>
  </si>
  <si>
    <t>10.7 oz (304 g)</t>
  </si>
  <si>
    <t>Premium McWrap Chicken Sweet Chili (Grilled Chicken)</t>
  </si>
  <si>
    <t>10.3 oz (291 g)</t>
  </si>
  <si>
    <t>Chicken McNuggets (4 piece)</t>
  </si>
  <si>
    <t>2.3 oz (65 g)</t>
  </si>
  <si>
    <t>Chicken McNuggets (6 piece)</t>
  </si>
  <si>
    <t>3.4 oz (97 g)</t>
  </si>
  <si>
    <t>Chicken McNuggets (10 piece)</t>
  </si>
  <si>
    <t>5.7 oz (162 g)</t>
  </si>
  <si>
    <t>Chicken McNuggets (20 piece)</t>
  </si>
  <si>
    <t>11.4 oz (323 g)</t>
  </si>
  <si>
    <t>Chicken McNuggets (40 piece)</t>
  </si>
  <si>
    <t>22.8 oz (646 g)</t>
  </si>
  <si>
    <t>Filet-O-Fish</t>
  </si>
  <si>
    <t>5 oz (142 g)</t>
  </si>
  <si>
    <t>Salads</t>
  </si>
  <si>
    <t>Premium Bacon Ranch Salad (without Chicken)</t>
  </si>
  <si>
    <t>7.9 oz (223 g)</t>
  </si>
  <si>
    <t>Premium Bacon Ranch Salad with Crispy Chicken</t>
  </si>
  <si>
    <t>9 oz (255 g)</t>
  </si>
  <si>
    <t>Premium Bacon Ranch Salad with Grilled Chicken</t>
  </si>
  <si>
    <t>Premium Southwest Salad (without Chicken)</t>
  </si>
  <si>
    <t>Premium Southwest Salad with Crispy Chicken</t>
  </si>
  <si>
    <t>12.3 oz (348 g)</t>
  </si>
  <si>
    <t>Premium Southwest Salad with Grilled Chicken</t>
  </si>
  <si>
    <t>11.8 oz (335 g)</t>
  </si>
  <si>
    <t>Snacks &amp; Sides</t>
  </si>
  <si>
    <t>Chipotle BBQ Snack Wrap (Crispy Chicken)</t>
  </si>
  <si>
    <t>4.6 oz (130 g)</t>
  </si>
  <si>
    <t>Chipotle BBQ Snack Wrap (Grilled Chicken)</t>
  </si>
  <si>
    <t>4.3 oz (123 g)</t>
  </si>
  <si>
    <t>Honey Mustard Snack Wrap (Crispy Chicken)</t>
  </si>
  <si>
    <t>Honey Mustard Snack Wrap (Grilled Chicken)</t>
  </si>
  <si>
    <t>4.1 oz (116 g)</t>
  </si>
  <si>
    <t>Ranch Snack Wrap (Crispy Chicken)</t>
  </si>
  <si>
    <t>4.5 oz (128 g)</t>
  </si>
  <si>
    <t>Ranch Snack Wrap (Grilled Chicken)</t>
  </si>
  <si>
    <t>4.3 oz (121 g)</t>
  </si>
  <si>
    <t>Small French Fries</t>
  </si>
  <si>
    <t>2.6 oz (75 g)</t>
  </si>
  <si>
    <t>Medium French Fries</t>
  </si>
  <si>
    <t>Large French Fries</t>
  </si>
  <si>
    <t>5.9 oz (168 g)</t>
  </si>
  <si>
    <t>Kids French Fries</t>
  </si>
  <si>
    <t>1.3 oz (38 g)</t>
  </si>
  <si>
    <t>Side Salad</t>
  </si>
  <si>
    <t>3.1 oz (87 g)</t>
  </si>
  <si>
    <t>Apple Slices</t>
  </si>
  <si>
    <t>1.2 oz (34 g)</t>
  </si>
  <si>
    <t>Fruit 'n Yogurt Parfait</t>
  </si>
  <si>
    <t>5.2 oz (149 g)</t>
  </si>
  <si>
    <t>Desserts</t>
  </si>
  <si>
    <t>Baked Apple Pie</t>
  </si>
  <si>
    <t>2.7 oz (77 g)</t>
  </si>
  <si>
    <t>Chocolate Chip Cookie</t>
  </si>
  <si>
    <t>1 cookie (33 g)</t>
  </si>
  <si>
    <t>Oatmeal Raisin Cookie</t>
  </si>
  <si>
    <t>Kids Ice Cream Cone</t>
  </si>
  <si>
    <t>1 oz (29 g)</t>
  </si>
  <si>
    <t>Hot Fudge Sundae</t>
  </si>
  <si>
    <t>6.3 oz (179 g)</t>
  </si>
  <si>
    <t>Hot Caramel Sundae</t>
  </si>
  <si>
    <t>6.4 oz (182 g)</t>
  </si>
  <si>
    <t>Strawberry Sundae</t>
  </si>
  <si>
    <t>Beverages</t>
  </si>
  <si>
    <t>Coca-Cola Classic (Small)</t>
  </si>
  <si>
    <t>16 fl oz cup</t>
  </si>
  <si>
    <t>Coca-Cola Classic (Medium)</t>
  </si>
  <si>
    <t>21 fl oz cup</t>
  </si>
  <si>
    <t>Coca-Cola Classic (Large)</t>
  </si>
  <si>
    <t>30 fl oz cup</t>
  </si>
  <si>
    <t>Coca-Cola Classic (Child)</t>
  </si>
  <si>
    <t>12 fl oz cup</t>
  </si>
  <si>
    <t>Diet Coke (Small)</t>
  </si>
  <si>
    <t>Diet Coke (Medium)</t>
  </si>
  <si>
    <t>Diet Coke (Large)</t>
  </si>
  <si>
    <t>Diet Coke (Child)</t>
  </si>
  <si>
    <t>Dr Pepper (Small)</t>
  </si>
  <si>
    <t>Dr Pepper (Medium)</t>
  </si>
  <si>
    <t>Dr Pepper (Large)</t>
  </si>
  <si>
    <t>Dr Pepper (Child)</t>
  </si>
  <si>
    <t>Diet Dr Pepper (Small)</t>
  </si>
  <si>
    <t>Diet Dr Pepper (Medium)</t>
  </si>
  <si>
    <t>Diet Dr Pepper (Large)</t>
  </si>
  <si>
    <t>Diet Dr Pepper (Child)</t>
  </si>
  <si>
    <t>Sprite (Small)</t>
  </si>
  <si>
    <t>Sprite (Medium)</t>
  </si>
  <si>
    <t>Sprite (Large)</t>
  </si>
  <si>
    <t>Sprite (Child)</t>
  </si>
  <si>
    <t>1% Low Fat Milk Jug</t>
  </si>
  <si>
    <t>Fat Free Chocolate Milk Jug</t>
  </si>
  <si>
    <t>Minute Maid 100% Apple Juice Box</t>
  </si>
  <si>
    <t>Minute Maid Orange Juice (Small)</t>
  </si>
  <si>
    <t>Minute Maid Orange Juice (Medium)</t>
  </si>
  <si>
    <t>Minute Maid Orange Juice (Large)</t>
  </si>
  <si>
    <t>22 fl oz cup</t>
  </si>
  <si>
    <t>Dasani Water Bottle</t>
  </si>
  <si>
    <t>Coffee &amp; Tea</t>
  </si>
  <si>
    <t>Iced Tea (Small)</t>
  </si>
  <si>
    <t>Iced Tea (Medium)</t>
  </si>
  <si>
    <t>Iced Tea (Large)</t>
  </si>
  <si>
    <t>Iced Tea (Child)</t>
  </si>
  <si>
    <t>Sweet Tea (Small)</t>
  </si>
  <si>
    <t>Sweet Tea (Medium)</t>
  </si>
  <si>
    <t>Sweet Tea (Large)</t>
  </si>
  <si>
    <t>Sweet Tea (Child)</t>
  </si>
  <si>
    <t>Coffee (Small)</t>
  </si>
  <si>
    <t>Coffee (Medium)</t>
  </si>
  <si>
    <t>Coffee (Large)</t>
  </si>
  <si>
    <t>Latte (Small)</t>
  </si>
  <si>
    <t>Latte (Medium)</t>
  </si>
  <si>
    <t>Latte (Large)</t>
  </si>
  <si>
    <t>20 fl oz cup</t>
  </si>
  <si>
    <t>Caramel Latte (Small)</t>
  </si>
  <si>
    <t>Caramel Latte (Medium)</t>
  </si>
  <si>
    <t>Caramel Latte (Large)</t>
  </si>
  <si>
    <t>Hazelnut Latte (Small)</t>
  </si>
  <si>
    <t>Hazelnut Latte (Medium)</t>
  </si>
  <si>
    <t>Hazelnut Latte (Large)</t>
  </si>
  <si>
    <t>French Vanilla Latte (Small)</t>
  </si>
  <si>
    <t>French Vanilla Latte (Medium)</t>
  </si>
  <si>
    <t>French Vanilla Latte (Large)</t>
  </si>
  <si>
    <t>Latte with Sugar Free French Vanilla Syrup (Small)</t>
  </si>
  <si>
    <t>Latte with Sugar Free French Vanilla Syrup (Medium)</t>
  </si>
  <si>
    <t>Latte with Sugar Free French Vanilla Syrup (Large)</t>
  </si>
  <si>
    <t>Nonfat Latte (Small)</t>
  </si>
  <si>
    <t>Nonfat Latte (Medium)</t>
  </si>
  <si>
    <t>Nonfat Latte (Large)</t>
  </si>
  <si>
    <t>Nonfat Caramel Latte (Small)</t>
  </si>
  <si>
    <t>Nonfat Caramel Latte (Medium)</t>
  </si>
  <si>
    <t>Nonfat Caramel Latte (Large)</t>
  </si>
  <si>
    <t>Nonfat Hazelnut Latte (Small)</t>
  </si>
  <si>
    <t>Nonfat Hazelnut Latte (Medium)</t>
  </si>
  <si>
    <t>Nonfat Hazelnut Latte (Large)</t>
  </si>
  <si>
    <t>Nonfat French Vanilla Latte (Small)</t>
  </si>
  <si>
    <t>Nonfat French Vanilla Latte (Medium)</t>
  </si>
  <si>
    <t>Nonfat French Vanilla Latte (Large)</t>
  </si>
  <si>
    <t>Nonfat Latte with Sugar Free French Vanilla Syrup (Small)</t>
  </si>
  <si>
    <t>Nonfat Latte with Sugar Free French Vanilla Syrup (Medium)</t>
  </si>
  <si>
    <t>Nonfat Latte with Sugar Free French Vanilla Syrup (Large)</t>
  </si>
  <si>
    <t>Mocha (Small)</t>
  </si>
  <si>
    <t>Mocha (Medium)</t>
  </si>
  <si>
    <t>Mocha (Large)</t>
  </si>
  <si>
    <t>Mocha with Nonfat Milk (Small)</t>
  </si>
  <si>
    <t>Mocha with Nonfat Milk (Medium)</t>
  </si>
  <si>
    <t>Mocha with Nonfat Milk (Large)</t>
  </si>
  <si>
    <t>Caramel Mocha (Small)</t>
  </si>
  <si>
    <t>Caramel Mocha (Medium)</t>
  </si>
  <si>
    <t>Caramel Mocha (Large)</t>
  </si>
  <si>
    <t>Nonfat Caramel Mocha (Small)</t>
  </si>
  <si>
    <t>Nonfat Caramel Mocha (Medium)</t>
  </si>
  <si>
    <t>Nonfat Caramel Mocha (Large)</t>
  </si>
  <si>
    <t>Hot Chocolate (Small)</t>
  </si>
  <si>
    <t>Hot Chocolate (Medium)</t>
  </si>
  <si>
    <t>Hot Chocolate (Large)</t>
  </si>
  <si>
    <t>Hot Chocolate with Nonfat Milk (Small)</t>
  </si>
  <si>
    <t>Hot Chocolate with Nonfat Milk (Medium)</t>
  </si>
  <si>
    <t>Hot Chocolate with Nonfat Milk (Large)</t>
  </si>
  <si>
    <t>Regular Iced Coffee (Small)</t>
  </si>
  <si>
    <t>Regular Iced Coffee (Medium)</t>
  </si>
  <si>
    <t>Regular Iced Coffee (Large)</t>
  </si>
  <si>
    <t>32 fl oz cup</t>
  </si>
  <si>
    <t>Caramel Iced Coffee (Small)</t>
  </si>
  <si>
    <t>Caramel Iced Coffee (Medium)</t>
  </si>
  <si>
    <t>Caramel Iced Coffee (Large)</t>
  </si>
  <si>
    <t>Hazelnut Iced Coffee (Small)</t>
  </si>
  <si>
    <t>Hazelnut Iced Coffee (Medium)</t>
  </si>
  <si>
    <t>Hazelnut Iced Coffee (Large)</t>
  </si>
  <si>
    <t>French Vanilla Iced Coffee (Small)</t>
  </si>
  <si>
    <t>French Vanilla Iced Coffee (Medium)</t>
  </si>
  <si>
    <t>French Vanilla Iced Coffee (Large)</t>
  </si>
  <si>
    <t>Iced Coffee with Sugar Free French Vanilla Syrup (Small)</t>
  </si>
  <si>
    <t>Iced Coffee with Sugar Free French Vanilla Syrup (Medium)</t>
  </si>
  <si>
    <t>Iced Coffee with Sugar Free French Vanilla Syrup (Large)</t>
  </si>
  <si>
    <t>Iced Mocha (Small)</t>
  </si>
  <si>
    <t>Iced Mocha (Medium)</t>
  </si>
  <si>
    <t>Iced Mocha (Large)</t>
  </si>
  <si>
    <t>Iced Mocha with Nonfat Milk (Small)</t>
  </si>
  <si>
    <t>Iced Mocha with Nonfat Milk (Medium)</t>
  </si>
  <si>
    <t>Iced Mocha with Nonfat Milk (Large)</t>
  </si>
  <si>
    <t>Iced Caramel Mocha (Small)</t>
  </si>
  <si>
    <t>Iced Caramel Mocha (Medium)</t>
  </si>
  <si>
    <t>Iced Caramel Mocha (Large)</t>
  </si>
  <si>
    <t>Iced Nonfat Caramel Mocha (Small)</t>
  </si>
  <si>
    <t>Iced Nonfat Caramel Mocha (Medium)</t>
  </si>
  <si>
    <t>Iced Nonfat Caramel Mocha (Large)</t>
  </si>
  <si>
    <t>FrappÃ© Mocha (Small)</t>
  </si>
  <si>
    <t>FrappÃ© Mocha (Medium)</t>
  </si>
  <si>
    <t>FrappÃ© Mocha (Large)</t>
  </si>
  <si>
    <t>FrappÃ© Caramel (Small)</t>
  </si>
  <si>
    <t>FrappÃ© Caramel (Medium)</t>
  </si>
  <si>
    <t>FrappÃ© Caramel (Large)</t>
  </si>
  <si>
    <t>FrappÃ© Chocolate Chip (Small)</t>
  </si>
  <si>
    <t>FrappÃ© Chocolate Chip (Medium)</t>
  </si>
  <si>
    <t>FrappÃ© Chocolate Chip (Large)</t>
  </si>
  <si>
    <t>Smoothies &amp; Shakes</t>
  </si>
  <si>
    <t>Blueberry Pomegranate Smoothie (Small)</t>
  </si>
  <si>
    <t>Blueberry Pomegranate Smoothie (Medium)</t>
  </si>
  <si>
    <t>Blueberry Pomegranate Smoothie (Large)</t>
  </si>
  <si>
    <t>Strawberry Banana Smoothie (Small)</t>
  </si>
  <si>
    <t>Strawberry Banana Smoothie (Medium)</t>
  </si>
  <si>
    <t>Strawberry Banana Smoothie (Large)</t>
  </si>
  <si>
    <t>Mango Pineapple Smoothie (Small)</t>
  </si>
  <si>
    <t>Mango Pineapple Smoothie (Medium)</t>
  </si>
  <si>
    <t>Mango Pineapple Smoothie (Large)</t>
  </si>
  <si>
    <t>Vanilla Shake (Small)</t>
  </si>
  <si>
    <t>Vanilla Shake (Medium)</t>
  </si>
  <si>
    <t>Vanilla Shake (Large)</t>
  </si>
  <si>
    <t>Strawberry Shake (Small)</t>
  </si>
  <si>
    <t>Strawberry Shake (Medium)</t>
  </si>
  <si>
    <t>Strawberry Shake (Large)</t>
  </si>
  <si>
    <t>Chocolate Shake (Small)</t>
  </si>
  <si>
    <t>Chocolate Shake (Medium)</t>
  </si>
  <si>
    <t>Chocolate Shake (Large)</t>
  </si>
  <si>
    <t>Shamrock Shake (Medium)</t>
  </si>
  <si>
    <t>Shamrock Shake (Large)</t>
  </si>
  <si>
    <t>McFlurry with M&amp;Mâ€™s Candies (Small)</t>
  </si>
  <si>
    <t>McFlurry with M&amp;Mâ€™s Candies (Medium)</t>
  </si>
  <si>
    <t>16.2 oz (460 g)</t>
  </si>
  <si>
    <t>McFlurry with M&amp;Mâ€™s Candies (Snack)</t>
  </si>
  <si>
    <t>7.3 oz (207 g)</t>
  </si>
  <si>
    <t>McFlurry with Oreo Cookies (Small)</t>
  </si>
  <si>
    <t>10.1 oz (285 g)</t>
  </si>
  <si>
    <t>McFlurry with Oreo Cookies (Medium)</t>
  </si>
  <si>
    <t>13.4 oz (381 g)</t>
  </si>
  <si>
    <t>McFlurry with Oreo Cookies (Snack)</t>
  </si>
  <si>
    <t>McFlurry with Reese's Peanut Butter Cups (Medium)</t>
  </si>
  <si>
    <t>14.2 oz (403 g)</t>
  </si>
  <si>
    <t>McFlurry with Reese's Peanut Butter Cups (Snack)</t>
  </si>
  <si>
    <t>Nutrition</t>
  </si>
  <si>
    <t>Mean</t>
  </si>
  <si>
    <t>Median</t>
  </si>
  <si>
    <t>Min</t>
  </si>
  <si>
    <t>Max</t>
  </si>
  <si>
    <t>Std dev</t>
  </si>
  <si>
    <t>Total fat</t>
  </si>
  <si>
    <t>Protien</t>
  </si>
  <si>
    <t>Cholestrol</t>
  </si>
  <si>
    <t>Carbs</t>
  </si>
  <si>
    <t>Fiber</t>
  </si>
  <si>
    <t>Vitamin A</t>
  </si>
  <si>
    <t>Vitamin C</t>
  </si>
  <si>
    <t>Calcium</t>
  </si>
  <si>
    <t>Iron</t>
  </si>
  <si>
    <t>Row Labels</t>
  </si>
  <si>
    <t>Grand Total</t>
  </si>
  <si>
    <t>Average of Calcium (% Daily Value)</t>
  </si>
  <si>
    <t>Average of Calories</t>
  </si>
  <si>
    <t>Average of Vitamin C (% Daily Value)</t>
  </si>
  <si>
    <t>Average of Iron (% Daily Value)</t>
  </si>
  <si>
    <t>Average of Vitamin A (% Daily Value)</t>
  </si>
  <si>
    <t>Average of Protein</t>
  </si>
  <si>
    <t>Average of Sodium</t>
  </si>
  <si>
    <t>Average of Cholesterol</t>
  </si>
  <si>
    <t>Average of Sugars</t>
  </si>
  <si>
    <t>Average of Carbohydrates</t>
  </si>
  <si>
    <t>Average of Dietary Fiber</t>
  </si>
  <si>
    <t>Average of Total Fat</t>
  </si>
  <si>
    <t>Chicken &amp; Fish and Breakfast items are high in calories.</t>
  </si>
  <si>
    <t>Smoothies &amp; Shakes offer the most calcium, but also high in calories.</t>
  </si>
  <si>
    <t>Beverages and Salads have the highest Vitamin C values.</t>
  </si>
  <si>
    <t>Iron content is highest in Breakfast and Chicken items.</t>
  </si>
  <si>
    <t>serving size in oz</t>
  </si>
  <si>
    <t>Norm_Calories</t>
  </si>
  <si>
    <t>Norm_Fat</t>
  </si>
  <si>
    <t>Norm_sugar</t>
  </si>
  <si>
    <t>norm_sodium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</si>
</sst>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jj!$L$1</c:f>
              <c:strCache>
                <c:ptCount val="1"/>
                <c:pt idx="0">
                  <c:v>serving size in oz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jj!$L$2:$L$234</c:f>
              <c:numCache>
                <c:formatCode>General</c:formatCode>
                <c:ptCount val="233"/>
                <c:pt idx="0">
                  <c:v>4.8</c:v>
                </c:pt>
                <c:pt idx="1">
                  <c:v>4.8</c:v>
                </c:pt>
                <c:pt idx="2">
                  <c:v>3.9</c:v>
                </c:pt>
                <c:pt idx="3">
                  <c:v>5.7</c:v>
                </c:pt>
                <c:pt idx="4">
                  <c:v>5.7</c:v>
                </c:pt>
                <c:pt idx="5">
                  <c:v>6.5</c:v>
                </c:pt>
                <c:pt idx="6">
                  <c:v>5.3</c:v>
                </c:pt>
                <c:pt idx="7">
                  <c:v>5.8</c:v>
                </c:pt>
                <c:pt idx="8">
                  <c:v>5.4</c:v>
                </c:pt>
                <c:pt idx="9">
                  <c:v>5.9</c:v>
                </c:pt>
                <c:pt idx="10">
                  <c:v>4.0999999999999996</c:v>
                </c:pt>
                <c:pt idx="11">
                  <c:v>4.5999999999999996</c:v>
                </c:pt>
                <c:pt idx="12">
                  <c:v>5.7</c:v>
                </c:pt>
                <c:pt idx="13">
                  <c:v>6.2</c:v>
                </c:pt>
                <c:pt idx="14">
                  <c:v>5.9</c:v>
                </c:pt>
                <c:pt idx="15">
                  <c:v>6.4</c:v>
                </c:pt>
                <c:pt idx="16">
                  <c:v>5</c:v>
                </c:pt>
                <c:pt idx="17">
                  <c:v>5.5</c:v>
                </c:pt>
                <c:pt idx="18">
                  <c:v>7.1</c:v>
                </c:pt>
                <c:pt idx="19">
                  <c:v>6.1</c:v>
                </c:pt>
                <c:pt idx="20">
                  <c:v>6.3</c:v>
                </c:pt>
                <c:pt idx="21">
                  <c:v>5</c:v>
                </c:pt>
                <c:pt idx="22">
                  <c:v>7.1</c:v>
                </c:pt>
                <c:pt idx="23">
                  <c:v>7.2</c:v>
                </c:pt>
                <c:pt idx="24">
                  <c:v>6.9</c:v>
                </c:pt>
                <c:pt idx="25">
                  <c:v>7.1</c:v>
                </c:pt>
                <c:pt idx="26">
                  <c:v>8.5</c:v>
                </c:pt>
                <c:pt idx="27">
                  <c:v>9.5</c:v>
                </c:pt>
                <c:pt idx="28">
                  <c:v>10</c:v>
                </c:pt>
                <c:pt idx="29">
                  <c:v>9.6</c:v>
                </c:pt>
                <c:pt idx="30">
                  <c:v>10.1</c:v>
                </c:pt>
                <c:pt idx="31">
                  <c:v>14.8</c:v>
                </c:pt>
                <c:pt idx="32">
                  <c:v>15.3</c:v>
                </c:pt>
                <c:pt idx="33">
                  <c:v>14.9</c:v>
                </c:pt>
                <c:pt idx="34">
                  <c:v>15.4</c:v>
                </c:pt>
                <c:pt idx="35">
                  <c:v>5.3</c:v>
                </c:pt>
                <c:pt idx="36">
                  <c:v>6.8</c:v>
                </c:pt>
                <c:pt idx="37">
                  <c:v>3.9</c:v>
                </c:pt>
                <c:pt idx="38">
                  <c:v>2</c:v>
                </c:pt>
                <c:pt idx="39">
                  <c:v>4</c:v>
                </c:pt>
                <c:pt idx="40">
                  <c:v>9.6</c:v>
                </c:pt>
                <c:pt idx="41">
                  <c:v>9.6</c:v>
                </c:pt>
                <c:pt idx="42">
                  <c:v>7.4</c:v>
                </c:pt>
                <c:pt idx="43">
                  <c:v>7.1</c:v>
                </c:pt>
                <c:pt idx="44">
                  <c:v>8</c:v>
                </c:pt>
                <c:pt idx="45">
                  <c:v>8.3000000000000007</c:v>
                </c:pt>
                <c:pt idx="46">
                  <c:v>8.6</c:v>
                </c:pt>
                <c:pt idx="47">
                  <c:v>10</c:v>
                </c:pt>
                <c:pt idx="48">
                  <c:v>3.5</c:v>
                </c:pt>
                <c:pt idx="49">
                  <c:v>4</c:v>
                </c:pt>
                <c:pt idx="50">
                  <c:v>5.7</c:v>
                </c:pt>
                <c:pt idx="51">
                  <c:v>9.5</c:v>
                </c:pt>
                <c:pt idx="52">
                  <c:v>5.2</c:v>
                </c:pt>
                <c:pt idx="53">
                  <c:v>5.7</c:v>
                </c:pt>
                <c:pt idx="54">
                  <c:v>6.7</c:v>
                </c:pt>
                <c:pt idx="55">
                  <c:v>5.6</c:v>
                </c:pt>
                <c:pt idx="56">
                  <c:v>7.3</c:v>
                </c:pt>
                <c:pt idx="57">
                  <c:v>7.5</c:v>
                </c:pt>
                <c:pt idx="58">
                  <c:v>7</c:v>
                </c:pt>
                <c:pt idx="59">
                  <c:v>8.8000000000000007</c:v>
                </c:pt>
                <c:pt idx="60">
                  <c:v>8.3000000000000007</c:v>
                </c:pt>
                <c:pt idx="61">
                  <c:v>8.1</c:v>
                </c:pt>
                <c:pt idx="62">
                  <c:v>7.6</c:v>
                </c:pt>
                <c:pt idx="63">
                  <c:v>10</c:v>
                </c:pt>
                <c:pt idx="64">
                  <c:v>9.5</c:v>
                </c:pt>
                <c:pt idx="65">
                  <c:v>5.6</c:v>
                </c:pt>
                <c:pt idx="66">
                  <c:v>5.0999999999999996</c:v>
                </c:pt>
                <c:pt idx="67">
                  <c:v>6</c:v>
                </c:pt>
                <c:pt idx="68">
                  <c:v>5.7</c:v>
                </c:pt>
                <c:pt idx="69">
                  <c:v>5.2</c:v>
                </c:pt>
                <c:pt idx="70">
                  <c:v>11.1</c:v>
                </c:pt>
                <c:pt idx="71">
                  <c:v>10.7</c:v>
                </c:pt>
                <c:pt idx="72">
                  <c:v>10.9</c:v>
                </c:pt>
                <c:pt idx="73">
                  <c:v>10.5</c:v>
                </c:pt>
                <c:pt idx="74">
                  <c:v>11.1</c:v>
                </c:pt>
                <c:pt idx="75">
                  <c:v>11.2</c:v>
                </c:pt>
                <c:pt idx="76">
                  <c:v>10.7</c:v>
                </c:pt>
                <c:pt idx="77">
                  <c:v>10.3</c:v>
                </c:pt>
                <c:pt idx="78">
                  <c:v>2.2999999999999998</c:v>
                </c:pt>
                <c:pt idx="79">
                  <c:v>3.4</c:v>
                </c:pt>
                <c:pt idx="80">
                  <c:v>5.7</c:v>
                </c:pt>
                <c:pt idx="81">
                  <c:v>11.4</c:v>
                </c:pt>
                <c:pt idx="82">
                  <c:v>22.8</c:v>
                </c:pt>
                <c:pt idx="83">
                  <c:v>5</c:v>
                </c:pt>
                <c:pt idx="84">
                  <c:v>7.9</c:v>
                </c:pt>
                <c:pt idx="85">
                  <c:v>9</c:v>
                </c:pt>
                <c:pt idx="86">
                  <c:v>8.5</c:v>
                </c:pt>
                <c:pt idx="87">
                  <c:v>8.1</c:v>
                </c:pt>
                <c:pt idx="88">
                  <c:v>12.3</c:v>
                </c:pt>
                <c:pt idx="89">
                  <c:v>11.8</c:v>
                </c:pt>
                <c:pt idx="90">
                  <c:v>4.5999999999999996</c:v>
                </c:pt>
                <c:pt idx="91">
                  <c:v>4.3</c:v>
                </c:pt>
                <c:pt idx="92">
                  <c:v>4.3</c:v>
                </c:pt>
                <c:pt idx="93">
                  <c:v>4.0999999999999996</c:v>
                </c:pt>
                <c:pt idx="94">
                  <c:v>4.5</c:v>
                </c:pt>
                <c:pt idx="95">
                  <c:v>4.3</c:v>
                </c:pt>
                <c:pt idx="96">
                  <c:v>2.6</c:v>
                </c:pt>
                <c:pt idx="97">
                  <c:v>3.9</c:v>
                </c:pt>
                <c:pt idx="98">
                  <c:v>5.9</c:v>
                </c:pt>
                <c:pt idx="99">
                  <c:v>1.3</c:v>
                </c:pt>
                <c:pt idx="100">
                  <c:v>3.1</c:v>
                </c:pt>
                <c:pt idx="101">
                  <c:v>1.2</c:v>
                </c:pt>
                <c:pt idx="102">
                  <c:v>5.2</c:v>
                </c:pt>
                <c:pt idx="103">
                  <c:v>2.7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6.3</c:v>
                </c:pt>
                <c:pt idx="108">
                  <c:v>6.4</c:v>
                </c:pt>
                <c:pt idx="109">
                  <c:v>6.3</c:v>
                </c:pt>
                <c:pt idx="110">
                  <c:v>16</c:v>
                </c:pt>
                <c:pt idx="111">
                  <c:v>21</c:v>
                </c:pt>
                <c:pt idx="112">
                  <c:v>30</c:v>
                </c:pt>
                <c:pt idx="113">
                  <c:v>12</c:v>
                </c:pt>
                <c:pt idx="114">
                  <c:v>16</c:v>
                </c:pt>
                <c:pt idx="115">
                  <c:v>21</c:v>
                </c:pt>
                <c:pt idx="116">
                  <c:v>30</c:v>
                </c:pt>
                <c:pt idx="117">
                  <c:v>12</c:v>
                </c:pt>
                <c:pt idx="118">
                  <c:v>12</c:v>
                </c:pt>
                <c:pt idx="119">
                  <c:v>16</c:v>
                </c:pt>
                <c:pt idx="120">
                  <c:v>16</c:v>
                </c:pt>
                <c:pt idx="121">
                  <c:v>12</c:v>
                </c:pt>
                <c:pt idx="122">
                  <c:v>16</c:v>
                </c:pt>
                <c:pt idx="123">
                  <c:v>20</c:v>
                </c:pt>
                <c:pt idx="124">
                  <c:v>12</c:v>
                </c:pt>
                <c:pt idx="125">
                  <c:v>16</c:v>
                </c:pt>
                <c:pt idx="126">
                  <c:v>20</c:v>
                </c:pt>
                <c:pt idx="127">
                  <c:v>12</c:v>
                </c:pt>
                <c:pt idx="128">
                  <c:v>16</c:v>
                </c:pt>
                <c:pt idx="129">
                  <c:v>20</c:v>
                </c:pt>
                <c:pt idx="130">
                  <c:v>12</c:v>
                </c:pt>
                <c:pt idx="131">
                  <c:v>16</c:v>
                </c:pt>
                <c:pt idx="132">
                  <c:v>20</c:v>
                </c:pt>
                <c:pt idx="133">
                  <c:v>12</c:v>
                </c:pt>
                <c:pt idx="134">
                  <c:v>16</c:v>
                </c:pt>
                <c:pt idx="135">
                  <c:v>20</c:v>
                </c:pt>
                <c:pt idx="136">
                  <c:v>12</c:v>
                </c:pt>
                <c:pt idx="137">
                  <c:v>16</c:v>
                </c:pt>
                <c:pt idx="138">
                  <c:v>20</c:v>
                </c:pt>
                <c:pt idx="139">
                  <c:v>12</c:v>
                </c:pt>
                <c:pt idx="140">
                  <c:v>16</c:v>
                </c:pt>
                <c:pt idx="141">
                  <c:v>20</c:v>
                </c:pt>
                <c:pt idx="142">
                  <c:v>12</c:v>
                </c:pt>
                <c:pt idx="143">
                  <c:v>16</c:v>
                </c:pt>
                <c:pt idx="144">
                  <c:v>20</c:v>
                </c:pt>
                <c:pt idx="145">
                  <c:v>12</c:v>
                </c:pt>
                <c:pt idx="146">
                  <c:v>16</c:v>
                </c:pt>
                <c:pt idx="147">
                  <c:v>20</c:v>
                </c:pt>
                <c:pt idx="148">
                  <c:v>12</c:v>
                </c:pt>
                <c:pt idx="149">
                  <c:v>16</c:v>
                </c:pt>
                <c:pt idx="150">
                  <c:v>20</c:v>
                </c:pt>
                <c:pt idx="151">
                  <c:v>12</c:v>
                </c:pt>
                <c:pt idx="152">
                  <c:v>16</c:v>
                </c:pt>
                <c:pt idx="153">
                  <c:v>20</c:v>
                </c:pt>
                <c:pt idx="154">
                  <c:v>12</c:v>
                </c:pt>
                <c:pt idx="155">
                  <c:v>16</c:v>
                </c:pt>
                <c:pt idx="156">
                  <c:v>20</c:v>
                </c:pt>
                <c:pt idx="157">
                  <c:v>12</c:v>
                </c:pt>
                <c:pt idx="158">
                  <c:v>16</c:v>
                </c:pt>
                <c:pt idx="159">
                  <c:v>20</c:v>
                </c:pt>
                <c:pt idx="160">
                  <c:v>12</c:v>
                </c:pt>
                <c:pt idx="161">
                  <c:v>16</c:v>
                </c:pt>
                <c:pt idx="162">
                  <c:v>20</c:v>
                </c:pt>
                <c:pt idx="163">
                  <c:v>12</c:v>
                </c:pt>
                <c:pt idx="164">
                  <c:v>16</c:v>
                </c:pt>
                <c:pt idx="165">
                  <c:v>20</c:v>
                </c:pt>
                <c:pt idx="166">
                  <c:v>12</c:v>
                </c:pt>
                <c:pt idx="167">
                  <c:v>16</c:v>
                </c:pt>
                <c:pt idx="168">
                  <c:v>20</c:v>
                </c:pt>
                <c:pt idx="169">
                  <c:v>16</c:v>
                </c:pt>
                <c:pt idx="170">
                  <c:v>22</c:v>
                </c:pt>
                <c:pt idx="171">
                  <c:v>32</c:v>
                </c:pt>
                <c:pt idx="172">
                  <c:v>16</c:v>
                </c:pt>
                <c:pt idx="173">
                  <c:v>22</c:v>
                </c:pt>
                <c:pt idx="174">
                  <c:v>32</c:v>
                </c:pt>
                <c:pt idx="175">
                  <c:v>16</c:v>
                </c:pt>
                <c:pt idx="176">
                  <c:v>22</c:v>
                </c:pt>
                <c:pt idx="177">
                  <c:v>32</c:v>
                </c:pt>
                <c:pt idx="178">
                  <c:v>16</c:v>
                </c:pt>
                <c:pt idx="179">
                  <c:v>22</c:v>
                </c:pt>
                <c:pt idx="180">
                  <c:v>32</c:v>
                </c:pt>
                <c:pt idx="181">
                  <c:v>16</c:v>
                </c:pt>
                <c:pt idx="182">
                  <c:v>22</c:v>
                </c:pt>
                <c:pt idx="183">
                  <c:v>32</c:v>
                </c:pt>
                <c:pt idx="184">
                  <c:v>12</c:v>
                </c:pt>
                <c:pt idx="185">
                  <c:v>16</c:v>
                </c:pt>
                <c:pt idx="186">
                  <c:v>22</c:v>
                </c:pt>
                <c:pt idx="187">
                  <c:v>12</c:v>
                </c:pt>
                <c:pt idx="188">
                  <c:v>16</c:v>
                </c:pt>
                <c:pt idx="189">
                  <c:v>22</c:v>
                </c:pt>
                <c:pt idx="190">
                  <c:v>12</c:v>
                </c:pt>
                <c:pt idx="191">
                  <c:v>16</c:v>
                </c:pt>
                <c:pt idx="192">
                  <c:v>22</c:v>
                </c:pt>
                <c:pt idx="193">
                  <c:v>12</c:v>
                </c:pt>
                <c:pt idx="194">
                  <c:v>16</c:v>
                </c:pt>
                <c:pt idx="195">
                  <c:v>22</c:v>
                </c:pt>
                <c:pt idx="196">
                  <c:v>12</c:v>
                </c:pt>
                <c:pt idx="197">
                  <c:v>16</c:v>
                </c:pt>
                <c:pt idx="198">
                  <c:v>22</c:v>
                </c:pt>
                <c:pt idx="199">
                  <c:v>12</c:v>
                </c:pt>
                <c:pt idx="200">
                  <c:v>16</c:v>
                </c:pt>
                <c:pt idx="201">
                  <c:v>22</c:v>
                </c:pt>
                <c:pt idx="202">
                  <c:v>12</c:v>
                </c:pt>
                <c:pt idx="203">
                  <c:v>16</c:v>
                </c:pt>
                <c:pt idx="204">
                  <c:v>22</c:v>
                </c:pt>
                <c:pt idx="205">
                  <c:v>12</c:v>
                </c:pt>
                <c:pt idx="206">
                  <c:v>16</c:v>
                </c:pt>
                <c:pt idx="207">
                  <c:v>22</c:v>
                </c:pt>
                <c:pt idx="208">
                  <c:v>12</c:v>
                </c:pt>
                <c:pt idx="209">
                  <c:v>16</c:v>
                </c:pt>
                <c:pt idx="210">
                  <c:v>22</c:v>
                </c:pt>
                <c:pt idx="211">
                  <c:v>12</c:v>
                </c:pt>
                <c:pt idx="212">
                  <c:v>16</c:v>
                </c:pt>
                <c:pt idx="213">
                  <c:v>22</c:v>
                </c:pt>
                <c:pt idx="214">
                  <c:v>12</c:v>
                </c:pt>
                <c:pt idx="215">
                  <c:v>16</c:v>
                </c:pt>
                <c:pt idx="216">
                  <c:v>22</c:v>
                </c:pt>
                <c:pt idx="217">
                  <c:v>12</c:v>
                </c:pt>
                <c:pt idx="218">
                  <c:v>16</c:v>
                </c:pt>
                <c:pt idx="219">
                  <c:v>22</c:v>
                </c:pt>
                <c:pt idx="220">
                  <c:v>12</c:v>
                </c:pt>
                <c:pt idx="221">
                  <c:v>16</c:v>
                </c:pt>
                <c:pt idx="222">
                  <c:v>22</c:v>
                </c:pt>
                <c:pt idx="223">
                  <c:v>16</c:v>
                </c:pt>
                <c:pt idx="224">
                  <c:v>22</c:v>
                </c:pt>
                <c:pt idx="225">
                  <c:v>10.9</c:v>
                </c:pt>
                <c:pt idx="226">
                  <c:v>16.2</c:v>
                </c:pt>
                <c:pt idx="227">
                  <c:v>7.3</c:v>
                </c:pt>
                <c:pt idx="228">
                  <c:v>10.1</c:v>
                </c:pt>
                <c:pt idx="229">
                  <c:v>13.4</c:v>
                </c:pt>
                <c:pt idx="230">
                  <c:v>6.7</c:v>
                </c:pt>
                <c:pt idx="231">
                  <c:v>14.2</c:v>
                </c:pt>
                <c:pt idx="232">
                  <c:v>7.1</c:v>
                </c:pt>
              </c:numCache>
            </c:numRef>
          </c:xVal>
          <c:yVal>
            <c:numRef>
              <c:f>jj!$D$2:$D$234</c:f>
              <c:numCache>
                <c:formatCode>General</c:formatCode>
                <c:ptCount val="233"/>
                <c:pt idx="0">
                  <c:v>300</c:v>
                </c:pt>
                <c:pt idx="1">
                  <c:v>250</c:v>
                </c:pt>
                <c:pt idx="2">
                  <c:v>370</c:v>
                </c:pt>
                <c:pt idx="3">
                  <c:v>450</c:v>
                </c:pt>
                <c:pt idx="4">
                  <c:v>400</c:v>
                </c:pt>
                <c:pt idx="5">
                  <c:v>430</c:v>
                </c:pt>
                <c:pt idx="6">
                  <c:v>460</c:v>
                </c:pt>
                <c:pt idx="7">
                  <c:v>520</c:v>
                </c:pt>
                <c:pt idx="8">
                  <c:v>410</c:v>
                </c:pt>
                <c:pt idx="9">
                  <c:v>470</c:v>
                </c:pt>
                <c:pt idx="10">
                  <c:v>430</c:v>
                </c:pt>
                <c:pt idx="11">
                  <c:v>480</c:v>
                </c:pt>
                <c:pt idx="12">
                  <c:v>510</c:v>
                </c:pt>
                <c:pt idx="13">
                  <c:v>570</c:v>
                </c:pt>
                <c:pt idx="14">
                  <c:v>460</c:v>
                </c:pt>
                <c:pt idx="15">
                  <c:v>520</c:v>
                </c:pt>
                <c:pt idx="16">
                  <c:v>410</c:v>
                </c:pt>
                <c:pt idx="17">
                  <c:v>470</c:v>
                </c:pt>
                <c:pt idx="18">
                  <c:v>540</c:v>
                </c:pt>
                <c:pt idx="19">
                  <c:v>460</c:v>
                </c:pt>
                <c:pt idx="20">
                  <c:v>400</c:v>
                </c:pt>
                <c:pt idx="21">
                  <c:v>420</c:v>
                </c:pt>
                <c:pt idx="22">
                  <c:v>550</c:v>
                </c:pt>
                <c:pt idx="23">
                  <c:v>500</c:v>
                </c:pt>
                <c:pt idx="24">
                  <c:v>620</c:v>
                </c:pt>
                <c:pt idx="25">
                  <c:v>570</c:v>
                </c:pt>
                <c:pt idx="26">
                  <c:v>670</c:v>
                </c:pt>
                <c:pt idx="27">
                  <c:v>740</c:v>
                </c:pt>
                <c:pt idx="28">
                  <c:v>800</c:v>
                </c:pt>
                <c:pt idx="29">
                  <c:v>640</c:v>
                </c:pt>
                <c:pt idx="30">
                  <c:v>690</c:v>
                </c:pt>
                <c:pt idx="31">
                  <c:v>1090</c:v>
                </c:pt>
                <c:pt idx="32">
                  <c:v>1150</c:v>
                </c:pt>
                <c:pt idx="33">
                  <c:v>990</c:v>
                </c:pt>
                <c:pt idx="34">
                  <c:v>1050</c:v>
                </c:pt>
                <c:pt idx="35">
                  <c:v>350</c:v>
                </c:pt>
                <c:pt idx="36">
                  <c:v>520</c:v>
                </c:pt>
                <c:pt idx="37">
                  <c:v>300</c:v>
                </c:pt>
                <c:pt idx="38">
                  <c:v>150</c:v>
                </c:pt>
                <c:pt idx="39">
                  <c:v>460</c:v>
                </c:pt>
                <c:pt idx="40">
                  <c:v>290</c:v>
                </c:pt>
                <c:pt idx="41">
                  <c:v>260</c:v>
                </c:pt>
                <c:pt idx="42">
                  <c:v>530</c:v>
                </c:pt>
                <c:pt idx="43">
                  <c:v>520</c:v>
                </c:pt>
                <c:pt idx="44">
                  <c:v>600</c:v>
                </c:pt>
                <c:pt idx="45">
                  <c:v>610</c:v>
                </c:pt>
                <c:pt idx="46">
                  <c:v>540</c:v>
                </c:pt>
                <c:pt idx="47">
                  <c:v>750</c:v>
                </c:pt>
                <c:pt idx="48">
                  <c:v>240</c:v>
                </c:pt>
                <c:pt idx="49">
                  <c:v>290</c:v>
                </c:pt>
                <c:pt idx="50">
                  <c:v>430</c:v>
                </c:pt>
                <c:pt idx="51">
                  <c:v>720</c:v>
                </c:pt>
                <c:pt idx="52">
                  <c:v>380</c:v>
                </c:pt>
                <c:pt idx="53">
                  <c:v>440</c:v>
                </c:pt>
                <c:pt idx="54">
                  <c:v>430</c:v>
                </c:pt>
                <c:pt idx="55">
                  <c:v>430</c:v>
                </c:pt>
                <c:pt idx="56">
                  <c:v>500</c:v>
                </c:pt>
                <c:pt idx="57">
                  <c:v>510</c:v>
                </c:pt>
                <c:pt idx="58">
                  <c:v>350</c:v>
                </c:pt>
                <c:pt idx="59">
                  <c:v>670</c:v>
                </c:pt>
                <c:pt idx="60">
                  <c:v>510</c:v>
                </c:pt>
                <c:pt idx="61">
                  <c:v>610</c:v>
                </c:pt>
                <c:pt idx="62">
                  <c:v>450</c:v>
                </c:pt>
                <c:pt idx="63">
                  <c:v>750</c:v>
                </c:pt>
                <c:pt idx="64">
                  <c:v>590</c:v>
                </c:pt>
                <c:pt idx="65">
                  <c:v>430</c:v>
                </c:pt>
                <c:pt idx="66">
                  <c:v>360</c:v>
                </c:pt>
                <c:pt idx="67">
                  <c:v>480</c:v>
                </c:pt>
                <c:pt idx="68">
                  <c:v>430</c:v>
                </c:pt>
                <c:pt idx="69">
                  <c:v>360</c:v>
                </c:pt>
                <c:pt idx="70">
                  <c:v>630</c:v>
                </c:pt>
                <c:pt idx="71">
                  <c:v>480</c:v>
                </c:pt>
                <c:pt idx="72">
                  <c:v>610</c:v>
                </c:pt>
                <c:pt idx="73">
                  <c:v>450</c:v>
                </c:pt>
                <c:pt idx="74">
                  <c:v>670</c:v>
                </c:pt>
                <c:pt idx="75">
                  <c:v>520</c:v>
                </c:pt>
                <c:pt idx="76">
                  <c:v>540</c:v>
                </c:pt>
                <c:pt idx="77">
                  <c:v>380</c:v>
                </c:pt>
                <c:pt idx="78">
                  <c:v>190</c:v>
                </c:pt>
                <c:pt idx="79">
                  <c:v>280</c:v>
                </c:pt>
                <c:pt idx="80">
                  <c:v>470</c:v>
                </c:pt>
                <c:pt idx="81">
                  <c:v>940</c:v>
                </c:pt>
                <c:pt idx="82">
                  <c:v>1880</c:v>
                </c:pt>
                <c:pt idx="83">
                  <c:v>390</c:v>
                </c:pt>
                <c:pt idx="84">
                  <c:v>140</c:v>
                </c:pt>
                <c:pt idx="85">
                  <c:v>380</c:v>
                </c:pt>
                <c:pt idx="86">
                  <c:v>220</c:v>
                </c:pt>
                <c:pt idx="87">
                  <c:v>140</c:v>
                </c:pt>
                <c:pt idx="88">
                  <c:v>450</c:v>
                </c:pt>
                <c:pt idx="89">
                  <c:v>290</c:v>
                </c:pt>
                <c:pt idx="90">
                  <c:v>340</c:v>
                </c:pt>
                <c:pt idx="91">
                  <c:v>260</c:v>
                </c:pt>
                <c:pt idx="92">
                  <c:v>330</c:v>
                </c:pt>
                <c:pt idx="93">
                  <c:v>250</c:v>
                </c:pt>
                <c:pt idx="94">
                  <c:v>360</c:v>
                </c:pt>
                <c:pt idx="95">
                  <c:v>280</c:v>
                </c:pt>
                <c:pt idx="96">
                  <c:v>230</c:v>
                </c:pt>
                <c:pt idx="97">
                  <c:v>340</c:v>
                </c:pt>
                <c:pt idx="98">
                  <c:v>510</c:v>
                </c:pt>
                <c:pt idx="99">
                  <c:v>110</c:v>
                </c:pt>
                <c:pt idx="100">
                  <c:v>20</c:v>
                </c:pt>
                <c:pt idx="101">
                  <c:v>15</c:v>
                </c:pt>
                <c:pt idx="102">
                  <c:v>150</c:v>
                </c:pt>
                <c:pt idx="103">
                  <c:v>250</c:v>
                </c:pt>
                <c:pt idx="104">
                  <c:v>160</c:v>
                </c:pt>
                <c:pt idx="105">
                  <c:v>150</c:v>
                </c:pt>
                <c:pt idx="106">
                  <c:v>45</c:v>
                </c:pt>
                <c:pt idx="107">
                  <c:v>330</c:v>
                </c:pt>
                <c:pt idx="108">
                  <c:v>340</c:v>
                </c:pt>
                <c:pt idx="109">
                  <c:v>280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150</c:v>
                </c:pt>
                <c:pt idx="115">
                  <c:v>180</c:v>
                </c:pt>
                <c:pt idx="116">
                  <c:v>220</c:v>
                </c:pt>
                <c:pt idx="117">
                  <c:v>110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170</c:v>
                </c:pt>
                <c:pt idx="122">
                  <c:v>210</c:v>
                </c:pt>
                <c:pt idx="123">
                  <c:v>280</c:v>
                </c:pt>
                <c:pt idx="124">
                  <c:v>270</c:v>
                </c:pt>
                <c:pt idx="125">
                  <c:v>340</c:v>
                </c:pt>
                <c:pt idx="126">
                  <c:v>430</c:v>
                </c:pt>
                <c:pt idx="127">
                  <c:v>270</c:v>
                </c:pt>
                <c:pt idx="128">
                  <c:v>330</c:v>
                </c:pt>
                <c:pt idx="129">
                  <c:v>430</c:v>
                </c:pt>
                <c:pt idx="130">
                  <c:v>260</c:v>
                </c:pt>
                <c:pt idx="131">
                  <c:v>330</c:v>
                </c:pt>
                <c:pt idx="132">
                  <c:v>420</c:v>
                </c:pt>
                <c:pt idx="133">
                  <c:v>210</c:v>
                </c:pt>
                <c:pt idx="134">
                  <c:v>260</c:v>
                </c:pt>
                <c:pt idx="135">
                  <c:v>330</c:v>
                </c:pt>
                <c:pt idx="136">
                  <c:v>100</c:v>
                </c:pt>
                <c:pt idx="137">
                  <c:v>130</c:v>
                </c:pt>
                <c:pt idx="138">
                  <c:v>170</c:v>
                </c:pt>
                <c:pt idx="139">
                  <c:v>200</c:v>
                </c:pt>
                <c:pt idx="140">
                  <c:v>250</c:v>
                </c:pt>
                <c:pt idx="141">
                  <c:v>310</c:v>
                </c:pt>
                <c:pt idx="142">
                  <c:v>200</c:v>
                </c:pt>
                <c:pt idx="143">
                  <c:v>250</c:v>
                </c:pt>
                <c:pt idx="144">
                  <c:v>310</c:v>
                </c:pt>
                <c:pt idx="145">
                  <c:v>190</c:v>
                </c:pt>
                <c:pt idx="146">
                  <c:v>240</c:v>
                </c:pt>
                <c:pt idx="147">
                  <c:v>300</c:v>
                </c:pt>
                <c:pt idx="148">
                  <c:v>140</c:v>
                </c:pt>
                <c:pt idx="149">
                  <c:v>170</c:v>
                </c:pt>
                <c:pt idx="150">
                  <c:v>220</c:v>
                </c:pt>
                <c:pt idx="151">
                  <c:v>340</c:v>
                </c:pt>
                <c:pt idx="152">
                  <c:v>410</c:v>
                </c:pt>
                <c:pt idx="153">
                  <c:v>500</c:v>
                </c:pt>
                <c:pt idx="154">
                  <c:v>270</c:v>
                </c:pt>
                <c:pt idx="155">
                  <c:v>330</c:v>
                </c:pt>
                <c:pt idx="156">
                  <c:v>390</c:v>
                </c:pt>
                <c:pt idx="157">
                  <c:v>320</c:v>
                </c:pt>
                <c:pt idx="158">
                  <c:v>390</c:v>
                </c:pt>
                <c:pt idx="159">
                  <c:v>480</c:v>
                </c:pt>
                <c:pt idx="160">
                  <c:v>250</c:v>
                </c:pt>
                <c:pt idx="161">
                  <c:v>310</c:v>
                </c:pt>
                <c:pt idx="162">
                  <c:v>370</c:v>
                </c:pt>
                <c:pt idx="163">
                  <c:v>360</c:v>
                </c:pt>
                <c:pt idx="164">
                  <c:v>440</c:v>
                </c:pt>
                <c:pt idx="165">
                  <c:v>540</c:v>
                </c:pt>
                <c:pt idx="166">
                  <c:v>280</c:v>
                </c:pt>
                <c:pt idx="167">
                  <c:v>340</c:v>
                </c:pt>
                <c:pt idx="168">
                  <c:v>400</c:v>
                </c:pt>
                <c:pt idx="169">
                  <c:v>140</c:v>
                </c:pt>
                <c:pt idx="170">
                  <c:v>190</c:v>
                </c:pt>
                <c:pt idx="171">
                  <c:v>270</c:v>
                </c:pt>
                <c:pt idx="172">
                  <c:v>130</c:v>
                </c:pt>
                <c:pt idx="173">
                  <c:v>180</c:v>
                </c:pt>
                <c:pt idx="174">
                  <c:v>260</c:v>
                </c:pt>
                <c:pt idx="175">
                  <c:v>130</c:v>
                </c:pt>
                <c:pt idx="176">
                  <c:v>180</c:v>
                </c:pt>
                <c:pt idx="177">
                  <c:v>250</c:v>
                </c:pt>
                <c:pt idx="178">
                  <c:v>120</c:v>
                </c:pt>
                <c:pt idx="179">
                  <c:v>170</c:v>
                </c:pt>
                <c:pt idx="180">
                  <c:v>240</c:v>
                </c:pt>
                <c:pt idx="181">
                  <c:v>80</c:v>
                </c:pt>
                <c:pt idx="182">
                  <c:v>120</c:v>
                </c:pt>
                <c:pt idx="183">
                  <c:v>160</c:v>
                </c:pt>
                <c:pt idx="184">
                  <c:v>290</c:v>
                </c:pt>
                <c:pt idx="185">
                  <c:v>350</c:v>
                </c:pt>
                <c:pt idx="186">
                  <c:v>480</c:v>
                </c:pt>
                <c:pt idx="187">
                  <c:v>240</c:v>
                </c:pt>
                <c:pt idx="188">
                  <c:v>290</c:v>
                </c:pt>
                <c:pt idx="189">
                  <c:v>390</c:v>
                </c:pt>
                <c:pt idx="190">
                  <c:v>280</c:v>
                </c:pt>
                <c:pt idx="191">
                  <c:v>340</c:v>
                </c:pt>
                <c:pt idx="192">
                  <c:v>460</c:v>
                </c:pt>
                <c:pt idx="193">
                  <c:v>230</c:v>
                </c:pt>
                <c:pt idx="194">
                  <c:v>270</c:v>
                </c:pt>
                <c:pt idx="195">
                  <c:v>370</c:v>
                </c:pt>
                <c:pt idx="196">
                  <c:v>450</c:v>
                </c:pt>
                <c:pt idx="197">
                  <c:v>550</c:v>
                </c:pt>
                <c:pt idx="198">
                  <c:v>670</c:v>
                </c:pt>
                <c:pt idx="199">
                  <c:v>450</c:v>
                </c:pt>
                <c:pt idx="200">
                  <c:v>550</c:v>
                </c:pt>
                <c:pt idx="201">
                  <c:v>670</c:v>
                </c:pt>
                <c:pt idx="202">
                  <c:v>530</c:v>
                </c:pt>
                <c:pt idx="203">
                  <c:v>630</c:v>
                </c:pt>
                <c:pt idx="204">
                  <c:v>760</c:v>
                </c:pt>
                <c:pt idx="205">
                  <c:v>220</c:v>
                </c:pt>
                <c:pt idx="206">
                  <c:v>260</c:v>
                </c:pt>
                <c:pt idx="207">
                  <c:v>340</c:v>
                </c:pt>
                <c:pt idx="208">
                  <c:v>210</c:v>
                </c:pt>
                <c:pt idx="209">
                  <c:v>250</c:v>
                </c:pt>
                <c:pt idx="210">
                  <c:v>330</c:v>
                </c:pt>
                <c:pt idx="211">
                  <c:v>210</c:v>
                </c:pt>
                <c:pt idx="212">
                  <c:v>260</c:v>
                </c:pt>
                <c:pt idx="213">
                  <c:v>340</c:v>
                </c:pt>
                <c:pt idx="214">
                  <c:v>530</c:v>
                </c:pt>
                <c:pt idx="215">
                  <c:v>660</c:v>
                </c:pt>
                <c:pt idx="216">
                  <c:v>820</c:v>
                </c:pt>
                <c:pt idx="217">
                  <c:v>550</c:v>
                </c:pt>
                <c:pt idx="218">
                  <c:v>690</c:v>
                </c:pt>
                <c:pt idx="219">
                  <c:v>850</c:v>
                </c:pt>
                <c:pt idx="220">
                  <c:v>560</c:v>
                </c:pt>
                <c:pt idx="221">
                  <c:v>700</c:v>
                </c:pt>
                <c:pt idx="222">
                  <c:v>850</c:v>
                </c:pt>
                <c:pt idx="223">
                  <c:v>660</c:v>
                </c:pt>
                <c:pt idx="224">
                  <c:v>820</c:v>
                </c:pt>
                <c:pt idx="225">
                  <c:v>650</c:v>
                </c:pt>
                <c:pt idx="226">
                  <c:v>930</c:v>
                </c:pt>
                <c:pt idx="227">
                  <c:v>430</c:v>
                </c:pt>
                <c:pt idx="228">
                  <c:v>510</c:v>
                </c:pt>
                <c:pt idx="229">
                  <c:v>690</c:v>
                </c:pt>
                <c:pt idx="230">
                  <c:v>340</c:v>
                </c:pt>
                <c:pt idx="231">
                  <c:v>810</c:v>
                </c:pt>
                <c:pt idx="232">
                  <c:v>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B-4423-AC1C-ABF06185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38352"/>
        <c:axId val="127438832"/>
      </c:scatterChart>
      <c:valAx>
        <c:axId val="12743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8832"/>
        <c:crosses val="autoZero"/>
        <c:crossBetween val="midCat"/>
      </c:valAx>
      <c:valAx>
        <c:axId val="1274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58119</xdr:colOff>
      <xdr:row>207</xdr:row>
      <xdr:rowOff>107196</xdr:rowOff>
    </xdr:from>
    <xdr:to>
      <xdr:col>23</xdr:col>
      <xdr:colOff>381000</xdr:colOff>
      <xdr:row>222</xdr:row>
      <xdr:rowOff>138193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415468-3669-826A-345F-8B05CEBA3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%20continuation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bh Perewar" refreshedDate="45763.694547916668" createdVersion="8" refreshedVersion="8" minRefreshableVersion="3" recordCount="260" xr:uid="{53E08014-0D9A-4D88-8DFD-ACA68E336CB6}">
  <cacheSource type="worksheet">
    <worksheetSource ref="A1:X261" sheet="project continuation" r:id="rId2"/>
  </cacheSource>
  <cacheFields count="24">
    <cacheField name="Category" numFmtId="0">
      <sharedItems count="9">
        <s v="Breakfast"/>
        <s v="Beef &amp; Pork"/>
        <s v="Chicken &amp; Fish"/>
        <s v="Salads"/>
        <s v="Snacks &amp; Sides"/>
        <s v="Desserts"/>
        <s v="Beverages"/>
        <s v="Coffee &amp; Tea"/>
        <s v="Smoothies &amp; Shakes"/>
      </sharedItems>
    </cacheField>
    <cacheField name="Item" numFmtId="0">
      <sharedItems/>
    </cacheField>
    <cacheField name="Serving Size" numFmtId="0">
      <sharedItems/>
    </cacheField>
    <cacheField name="Calories" numFmtId="0">
      <sharedItems containsSemiMixedTypes="0" containsString="0" containsNumber="1" containsInteger="1" minValue="0" maxValue="1880"/>
    </cacheField>
    <cacheField name="Calories from Fat" numFmtId="0">
      <sharedItems containsSemiMixedTypes="0" containsString="0" containsNumber="1" containsInteger="1" minValue="0" maxValue="1060"/>
    </cacheField>
    <cacheField name="Total Fat" numFmtId="0">
      <sharedItems containsSemiMixedTypes="0" containsString="0" containsNumber="1" minValue="0" maxValue="118"/>
    </cacheField>
    <cacheField name="Total Fat (% Daily Value)" numFmtId="0">
      <sharedItems containsSemiMixedTypes="0" containsString="0" containsNumber="1" containsInteger="1" minValue="0" maxValue="182"/>
    </cacheField>
    <cacheField name="Saturated Fat" numFmtId="0">
      <sharedItems containsSemiMixedTypes="0" containsString="0" containsNumber="1" minValue="0" maxValue="20"/>
    </cacheField>
    <cacheField name="Saturated Fat (% Daily Value)" numFmtId="0">
      <sharedItems containsSemiMixedTypes="0" containsString="0" containsNumber="1" containsInteger="1" minValue="0" maxValue="102"/>
    </cacheField>
    <cacheField name="Trans Fat" numFmtId="0">
      <sharedItems containsSemiMixedTypes="0" containsString="0" containsNumber="1" minValue="0" maxValue="2.5"/>
    </cacheField>
    <cacheField name="Cholesterol" numFmtId="0">
      <sharedItems containsSemiMixedTypes="0" containsString="0" containsNumber="1" containsInteger="1" minValue="0" maxValue="575"/>
    </cacheField>
    <cacheField name="Cholesterol (% Daily Value)" numFmtId="0">
      <sharedItems containsSemiMixedTypes="0" containsString="0" containsNumber="1" containsInteger="1" minValue="0" maxValue="192"/>
    </cacheField>
    <cacheField name="Sodium" numFmtId="0">
      <sharedItems containsSemiMixedTypes="0" containsString="0" containsNumber="1" containsInteger="1" minValue="0" maxValue="3600"/>
    </cacheField>
    <cacheField name="Sodium (% Daily Value)" numFmtId="0">
      <sharedItems containsSemiMixedTypes="0" containsString="0" containsNumber="1" containsInteger="1" minValue="0" maxValue="150"/>
    </cacheField>
    <cacheField name="Carbohydrates" numFmtId="0">
      <sharedItems containsSemiMixedTypes="0" containsString="0" containsNumber="1" containsInteger="1" minValue="0" maxValue="141"/>
    </cacheField>
    <cacheField name="Carbohydrates (% Daily Value)" numFmtId="0">
      <sharedItems containsSemiMixedTypes="0" containsString="0" containsNumber="1" containsInteger="1" minValue="0" maxValue="47"/>
    </cacheField>
    <cacheField name="Dietary Fiber" numFmtId="0">
      <sharedItems containsSemiMixedTypes="0" containsString="0" containsNumber="1" containsInteger="1" minValue="0" maxValue="7"/>
    </cacheField>
    <cacheField name="Dietary Fiber (% Daily Value)" numFmtId="0">
      <sharedItems containsSemiMixedTypes="0" containsString="0" containsNumber="1" containsInteger="1" minValue="0" maxValue="28"/>
    </cacheField>
    <cacheField name="Sugars" numFmtId="0">
      <sharedItems containsSemiMixedTypes="0" containsString="0" containsNumber="1" containsInteger="1" minValue="0" maxValue="128"/>
    </cacheField>
    <cacheField name="Protein" numFmtId="0">
      <sharedItems containsSemiMixedTypes="0" containsString="0" containsNumber="1" containsInteger="1" minValue="0" maxValue="87"/>
    </cacheField>
    <cacheField name="Vitamin A (% Daily Value)" numFmtId="0">
      <sharedItems containsSemiMixedTypes="0" containsString="0" containsNumber="1" containsInteger="1" minValue="0" maxValue="170"/>
    </cacheField>
    <cacheField name="Vitamin C (% Daily Value)" numFmtId="0">
      <sharedItems containsSemiMixedTypes="0" containsString="0" containsNumber="1" containsInteger="1" minValue="0" maxValue="240"/>
    </cacheField>
    <cacheField name="Calcium (% Daily Value)" numFmtId="0">
      <sharedItems containsSemiMixedTypes="0" containsString="0" containsNumber="1" containsInteger="1" minValue="0" maxValue="70"/>
    </cacheField>
    <cacheField name="Iron (% Daily Value)" numFmtId="0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s v="Egg McMuffin"/>
    <s v="4.8 oz (136 g)"/>
    <n v="300"/>
    <n v="120"/>
    <n v="13"/>
    <n v="20"/>
    <n v="5"/>
    <n v="25"/>
    <n v="0"/>
    <n v="260"/>
    <n v="87"/>
    <n v="750"/>
    <n v="31"/>
    <n v="31"/>
    <n v="10"/>
    <n v="4"/>
    <n v="17"/>
    <n v="3"/>
    <n v="17"/>
    <n v="10"/>
    <n v="0"/>
    <n v="25"/>
    <n v="15"/>
  </r>
  <r>
    <x v="0"/>
    <s v="Egg White Delight"/>
    <s v="4.8 oz (135 g)"/>
    <n v="250"/>
    <n v="70"/>
    <n v="8"/>
    <n v="12"/>
    <n v="3"/>
    <n v="15"/>
    <n v="0"/>
    <n v="25"/>
    <n v="8"/>
    <n v="770"/>
    <n v="32"/>
    <n v="30"/>
    <n v="10"/>
    <n v="4"/>
    <n v="17"/>
    <n v="3"/>
    <n v="18"/>
    <n v="6"/>
    <n v="0"/>
    <n v="25"/>
    <n v="8"/>
  </r>
  <r>
    <x v="0"/>
    <s v="Sausage McMuffin"/>
    <s v="3.9 oz (111 g)"/>
    <n v="370"/>
    <n v="200"/>
    <n v="23"/>
    <n v="35"/>
    <n v="8"/>
    <n v="42"/>
    <n v="0"/>
    <n v="45"/>
    <n v="15"/>
    <n v="780"/>
    <n v="33"/>
    <n v="29"/>
    <n v="10"/>
    <n v="4"/>
    <n v="17"/>
    <n v="2"/>
    <n v="14"/>
    <n v="8"/>
    <n v="0"/>
    <n v="25"/>
    <n v="10"/>
  </r>
  <r>
    <x v="0"/>
    <s v="Sausage McMuffin with Egg"/>
    <s v="5.7 oz (161 g)"/>
    <n v="450"/>
    <n v="250"/>
    <n v="28"/>
    <n v="43"/>
    <n v="10"/>
    <n v="52"/>
    <n v="0"/>
    <n v="285"/>
    <n v="95"/>
    <n v="860"/>
    <n v="36"/>
    <n v="30"/>
    <n v="10"/>
    <n v="4"/>
    <n v="17"/>
    <n v="2"/>
    <n v="21"/>
    <n v="15"/>
    <n v="0"/>
    <n v="30"/>
    <n v="15"/>
  </r>
  <r>
    <x v="0"/>
    <s v="Sausage McMuffin with Egg Whites"/>
    <s v="5.7 oz (161 g)"/>
    <n v="400"/>
    <n v="210"/>
    <n v="23"/>
    <n v="35"/>
    <n v="8"/>
    <n v="42"/>
    <n v="0"/>
    <n v="50"/>
    <n v="16"/>
    <n v="880"/>
    <n v="37"/>
    <n v="30"/>
    <n v="10"/>
    <n v="4"/>
    <n v="17"/>
    <n v="2"/>
    <n v="21"/>
    <n v="6"/>
    <n v="0"/>
    <n v="25"/>
    <n v="10"/>
  </r>
  <r>
    <x v="0"/>
    <s v="Steak &amp; Egg McMuffin"/>
    <s v="6.5 oz (185 g)"/>
    <n v="430"/>
    <n v="210"/>
    <n v="23"/>
    <n v="36"/>
    <n v="9"/>
    <n v="46"/>
    <n v="1"/>
    <n v="300"/>
    <n v="100"/>
    <n v="960"/>
    <n v="40"/>
    <n v="31"/>
    <n v="10"/>
    <n v="4"/>
    <n v="18"/>
    <n v="3"/>
    <n v="26"/>
    <n v="15"/>
    <n v="2"/>
    <n v="30"/>
    <n v="20"/>
  </r>
  <r>
    <x v="0"/>
    <s v="Bacon, Egg &amp; Cheese Biscuit (Regular Biscuit)"/>
    <s v="5.3 oz (150 g)"/>
    <n v="460"/>
    <n v="230"/>
    <n v="26"/>
    <n v="40"/>
    <n v="13"/>
    <n v="65"/>
    <n v="0"/>
    <n v="250"/>
    <n v="83"/>
    <n v="1300"/>
    <n v="54"/>
    <n v="38"/>
    <n v="13"/>
    <n v="2"/>
    <n v="7"/>
    <n v="3"/>
    <n v="19"/>
    <n v="10"/>
    <n v="8"/>
    <n v="15"/>
    <n v="15"/>
  </r>
  <r>
    <x v="0"/>
    <s v="Bacon, Egg &amp; Cheese Biscuit (Large Biscuit)"/>
    <s v="5.8 oz (164 g)"/>
    <n v="520"/>
    <n v="270"/>
    <n v="30"/>
    <n v="47"/>
    <n v="14"/>
    <n v="68"/>
    <n v="0"/>
    <n v="250"/>
    <n v="83"/>
    <n v="1410"/>
    <n v="59"/>
    <n v="43"/>
    <n v="14"/>
    <n v="3"/>
    <n v="12"/>
    <n v="4"/>
    <n v="19"/>
    <n v="15"/>
    <n v="8"/>
    <n v="20"/>
    <n v="20"/>
  </r>
  <r>
    <x v="0"/>
    <s v="Bacon, Egg &amp; Cheese Biscuit with Egg Whites (Regular Biscuit)"/>
    <s v="5.4 oz (153 g)"/>
    <n v="410"/>
    <n v="180"/>
    <n v="20"/>
    <n v="32"/>
    <n v="11"/>
    <n v="56"/>
    <n v="0"/>
    <n v="35"/>
    <n v="11"/>
    <n v="1300"/>
    <n v="54"/>
    <n v="36"/>
    <n v="12"/>
    <n v="2"/>
    <n v="7"/>
    <n v="3"/>
    <n v="20"/>
    <n v="2"/>
    <n v="8"/>
    <n v="15"/>
    <n v="10"/>
  </r>
  <r>
    <x v="0"/>
    <s v="Bacon, Egg &amp; Cheese Biscuit with Egg Whites (Large Biscuit)"/>
    <s v="5.9 oz (167 g)"/>
    <n v="470"/>
    <n v="220"/>
    <n v="25"/>
    <n v="38"/>
    <n v="12"/>
    <n v="59"/>
    <n v="0"/>
    <n v="35"/>
    <n v="11"/>
    <n v="1420"/>
    <n v="59"/>
    <n v="42"/>
    <n v="14"/>
    <n v="3"/>
    <n v="12"/>
    <n v="4"/>
    <n v="20"/>
    <n v="6"/>
    <n v="8"/>
    <n v="15"/>
    <n v="15"/>
  </r>
  <r>
    <x v="0"/>
    <s v="Sausage Biscuit (Regular Biscuit)"/>
    <s v="4.1 oz (117 g)"/>
    <n v="430"/>
    <n v="240"/>
    <n v="27"/>
    <n v="42"/>
    <n v="12"/>
    <n v="62"/>
    <n v="0"/>
    <n v="30"/>
    <n v="10"/>
    <n v="1080"/>
    <n v="45"/>
    <n v="34"/>
    <n v="11"/>
    <n v="2"/>
    <n v="6"/>
    <n v="2"/>
    <n v="11"/>
    <n v="0"/>
    <n v="0"/>
    <n v="6"/>
    <n v="15"/>
  </r>
  <r>
    <x v="0"/>
    <s v="Sausage Biscuit (Large Biscuit)"/>
    <s v="4.6 oz (131 g)"/>
    <n v="480"/>
    <n v="280"/>
    <n v="31"/>
    <n v="48"/>
    <n v="13"/>
    <n v="65"/>
    <n v="0"/>
    <n v="30"/>
    <n v="10"/>
    <n v="1190"/>
    <n v="50"/>
    <n v="39"/>
    <n v="13"/>
    <n v="3"/>
    <n v="11"/>
    <n v="3"/>
    <n v="11"/>
    <n v="4"/>
    <n v="0"/>
    <n v="8"/>
    <n v="15"/>
  </r>
  <r>
    <x v="0"/>
    <s v="Sausage Biscuit with Egg (Regular Biscuit)"/>
    <s v="5.7 oz (163 g)"/>
    <n v="510"/>
    <n v="290"/>
    <n v="33"/>
    <n v="50"/>
    <n v="14"/>
    <n v="71"/>
    <n v="0"/>
    <n v="250"/>
    <n v="83"/>
    <n v="1170"/>
    <n v="49"/>
    <n v="36"/>
    <n v="12"/>
    <n v="2"/>
    <n v="6"/>
    <n v="2"/>
    <n v="18"/>
    <n v="6"/>
    <n v="0"/>
    <n v="10"/>
    <n v="20"/>
  </r>
  <r>
    <x v="0"/>
    <s v="Sausage Biscuit with Egg (Large Biscuit)"/>
    <s v="6.2 oz (177 g)"/>
    <n v="570"/>
    <n v="330"/>
    <n v="37"/>
    <n v="57"/>
    <n v="15"/>
    <n v="74"/>
    <n v="0"/>
    <n v="250"/>
    <n v="83"/>
    <n v="1280"/>
    <n v="53"/>
    <n v="42"/>
    <n v="14"/>
    <n v="3"/>
    <n v="11"/>
    <n v="3"/>
    <n v="18"/>
    <n v="10"/>
    <n v="0"/>
    <n v="10"/>
    <n v="20"/>
  </r>
  <r>
    <x v="0"/>
    <s v="Sausage Biscuit with Egg Whites (Regular Biscuit)"/>
    <s v="5.9 oz (167 g)"/>
    <n v="460"/>
    <n v="250"/>
    <n v="27"/>
    <n v="42"/>
    <n v="12"/>
    <n v="62"/>
    <n v="0"/>
    <n v="35"/>
    <n v="11"/>
    <n v="1180"/>
    <n v="49"/>
    <n v="34"/>
    <n v="11"/>
    <n v="2"/>
    <n v="6"/>
    <n v="3"/>
    <n v="18"/>
    <n v="0"/>
    <n v="0"/>
    <n v="8"/>
    <n v="15"/>
  </r>
  <r>
    <x v="0"/>
    <s v="Sausage Biscuit with Egg Whites (Large Biscuit)"/>
    <s v="6.4 oz (181 g)"/>
    <n v="520"/>
    <n v="280"/>
    <n v="32"/>
    <n v="49"/>
    <n v="13"/>
    <n v="65"/>
    <n v="0"/>
    <n v="35"/>
    <n v="11"/>
    <n v="1290"/>
    <n v="54"/>
    <n v="40"/>
    <n v="13"/>
    <n v="3"/>
    <n v="11"/>
    <n v="3"/>
    <n v="18"/>
    <n v="4"/>
    <n v="0"/>
    <n v="8"/>
    <n v="15"/>
  </r>
  <r>
    <x v="0"/>
    <s v="Southern Style Chicken Biscuit (Regular Biscuit)"/>
    <s v="5 oz (143 g)"/>
    <n v="410"/>
    <n v="180"/>
    <n v="20"/>
    <n v="31"/>
    <n v="8"/>
    <n v="41"/>
    <n v="0"/>
    <n v="30"/>
    <n v="10"/>
    <n v="1180"/>
    <n v="49"/>
    <n v="41"/>
    <n v="14"/>
    <n v="2"/>
    <n v="6"/>
    <n v="3"/>
    <n v="17"/>
    <n v="0"/>
    <n v="2"/>
    <n v="6"/>
    <n v="15"/>
  </r>
  <r>
    <x v="0"/>
    <s v="Southern Style Chicken Biscuit (Large Biscuit)"/>
    <s v="5.5 oz (157 g)"/>
    <n v="470"/>
    <n v="220"/>
    <n v="24"/>
    <n v="37"/>
    <n v="9"/>
    <n v="45"/>
    <n v="0"/>
    <n v="30"/>
    <n v="10"/>
    <n v="1290"/>
    <n v="54"/>
    <n v="46"/>
    <n v="15"/>
    <n v="3"/>
    <n v="11"/>
    <n v="4"/>
    <n v="17"/>
    <n v="4"/>
    <n v="2"/>
    <n v="8"/>
    <n v="15"/>
  </r>
  <r>
    <x v="0"/>
    <s v="Steak &amp; Egg Biscuit (Regular Biscuit)"/>
    <s v="7.1 oz (201 g)"/>
    <n v="540"/>
    <n v="290"/>
    <n v="32"/>
    <n v="49"/>
    <n v="16"/>
    <n v="78"/>
    <n v="1"/>
    <n v="280"/>
    <n v="93"/>
    <n v="1470"/>
    <n v="61"/>
    <n v="38"/>
    <n v="13"/>
    <n v="2"/>
    <n v="8"/>
    <n v="3"/>
    <n v="25"/>
    <n v="10"/>
    <n v="2"/>
    <n v="20"/>
    <n v="25"/>
  </r>
  <r>
    <x v="0"/>
    <s v="Bacon, Egg &amp; Cheese McGriddles"/>
    <s v="6.1 oz (174 g)"/>
    <n v="460"/>
    <n v="190"/>
    <n v="21"/>
    <n v="32"/>
    <n v="9"/>
    <n v="44"/>
    <n v="0"/>
    <n v="250"/>
    <n v="84"/>
    <n v="1250"/>
    <n v="52"/>
    <n v="48"/>
    <n v="16"/>
    <n v="2"/>
    <n v="9"/>
    <n v="15"/>
    <n v="19"/>
    <n v="10"/>
    <n v="10"/>
    <n v="20"/>
    <n v="15"/>
  </r>
  <r>
    <x v="0"/>
    <s v="Bacon, Egg &amp; Cheese McGriddles with Egg Whites"/>
    <s v="6.3 oz (178 g)"/>
    <n v="400"/>
    <n v="140"/>
    <n v="15"/>
    <n v="24"/>
    <n v="7"/>
    <n v="34"/>
    <n v="0"/>
    <n v="35"/>
    <n v="11"/>
    <n v="1250"/>
    <n v="52"/>
    <n v="47"/>
    <n v="16"/>
    <n v="2"/>
    <n v="9"/>
    <n v="16"/>
    <n v="20"/>
    <n v="2"/>
    <n v="10"/>
    <n v="15"/>
    <n v="10"/>
  </r>
  <r>
    <x v="0"/>
    <s v="Sausage McGriddles"/>
    <s v="5 oz (141 g)"/>
    <n v="420"/>
    <n v="200"/>
    <n v="22"/>
    <n v="34"/>
    <n v="8"/>
    <n v="40"/>
    <n v="0"/>
    <n v="35"/>
    <n v="11"/>
    <n v="1030"/>
    <n v="43"/>
    <n v="44"/>
    <n v="15"/>
    <n v="2"/>
    <n v="8"/>
    <n v="15"/>
    <n v="11"/>
    <n v="0"/>
    <n v="0"/>
    <n v="8"/>
    <n v="10"/>
  </r>
  <r>
    <x v="0"/>
    <s v="Sausage, Egg &amp; Cheese McGriddles"/>
    <s v="7.1 oz (201 g)"/>
    <n v="550"/>
    <n v="280"/>
    <n v="31"/>
    <n v="48"/>
    <n v="12"/>
    <n v="61"/>
    <n v="0"/>
    <n v="265"/>
    <n v="89"/>
    <n v="1320"/>
    <n v="55"/>
    <n v="48"/>
    <n v="16"/>
    <n v="2"/>
    <n v="9"/>
    <n v="15"/>
    <n v="20"/>
    <n v="10"/>
    <n v="0"/>
    <n v="20"/>
    <n v="15"/>
  </r>
  <r>
    <x v="0"/>
    <s v="Sausage, Egg &amp; Cheese McGriddles with Egg Whites"/>
    <s v="7.2 oz (205 g)"/>
    <n v="500"/>
    <n v="230"/>
    <n v="26"/>
    <n v="40"/>
    <n v="10"/>
    <n v="52"/>
    <n v="0"/>
    <n v="50"/>
    <n v="17"/>
    <n v="1320"/>
    <n v="55"/>
    <n v="46"/>
    <n v="15"/>
    <n v="2"/>
    <n v="9"/>
    <n v="15"/>
    <n v="21"/>
    <n v="2"/>
    <n v="0"/>
    <n v="20"/>
    <n v="10"/>
  </r>
  <r>
    <x v="0"/>
    <s v="Bacon, Egg &amp; Cheese Bagel"/>
    <s v="6.9 oz (197 g)"/>
    <n v="620"/>
    <n v="280"/>
    <n v="31"/>
    <n v="48"/>
    <n v="11"/>
    <n v="56"/>
    <n v="0.5"/>
    <n v="275"/>
    <n v="92"/>
    <n v="1480"/>
    <n v="62"/>
    <n v="57"/>
    <n v="19"/>
    <n v="3"/>
    <n v="11"/>
    <n v="7"/>
    <n v="30"/>
    <n v="20"/>
    <n v="15"/>
    <n v="20"/>
    <n v="20"/>
  </r>
  <r>
    <x v="0"/>
    <s v="Bacon, Egg &amp; Cheese Bagel with Egg Whites"/>
    <s v="7.1 oz (201 g)"/>
    <n v="570"/>
    <n v="230"/>
    <n v="25"/>
    <n v="39"/>
    <n v="9"/>
    <n v="45"/>
    <n v="0.5"/>
    <n v="60"/>
    <n v="20"/>
    <n v="1480"/>
    <n v="62"/>
    <n v="55"/>
    <n v="18"/>
    <n v="3"/>
    <n v="12"/>
    <n v="8"/>
    <n v="30"/>
    <n v="10"/>
    <n v="15"/>
    <n v="20"/>
    <n v="15"/>
  </r>
  <r>
    <x v="0"/>
    <s v="Steak, Egg &amp; Cheese Bagel"/>
    <s v="8.5 oz (241 g)"/>
    <n v="670"/>
    <n v="310"/>
    <n v="35"/>
    <n v="53"/>
    <n v="13"/>
    <n v="63"/>
    <n v="1.5"/>
    <n v="295"/>
    <n v="99"/>
    <n v="1510"/>
    <n v="63"/>
    <n v="56"/>
    <n v="19"/>
    <n v="3"/>
    <n v="12"/>
    <n v="7"/>
    <n v="33"/>
    <n v="20"/>
    <n v="4"/>
    <n v="25"/>
    <n v="25"/>
  </r>
  <r>
    <x v="0"/>
    <s v="Big Breakfast (Regular Biscuit)"/>
    <s v="9.5 oz (269 g)"/>
    <n v="740"/>
    <n v="430"/>
    <n v="48"/>
    <n v="73"/>
    <n v="17"/>
    <n v="87"/>
    <n v="0"/>
    <n v="555"/>
    <n v="185"/>
    <n v="1560"/>
    <n v="65"/>
    <n v="51"/>
    <n v="17"/>
    <n v="3"/>
    <n v="12"/>
    <n v="3"/>
    <n v="28"/>
    <n v="15"/>
    <n v="2"/>
    <n v="15"/>
    <n v="25"/>
  </r>
  <r>
    <x v="0"/>
    <s v="Big Breakfast (Large Biscuit)"/>
    <s v="10 oz (283 g)"/>
    <n v="800"/>
    <n v="470"/>
    <n v="52"/>
    <n v="80"/>
    <n v="18"/>
    <n v="90"/>
    <n v="0"/>
    <n v="555"/>
    <n v="185"/>
    <n v="1680"/>
    <n v="70"/>
    <n v="56"/>
    <n v="19"/>
    <n v="4"/>
    <n v="17"/>
    <n v="3"/>
    <n v="28"/>
    <n v="15"/>
    <n v="2"/>
    <n v="15"/>
    <n v="30"/>
  </r>
  <r>
    <x v="0"/>
    <s v="Big Breakfast with Egg Whites (Regular Biscuit)"/>
    <s v="9.6 oz (272 g)"/>
    <n v="640"/>
    <n v="330"/>
    <n v="37"/>
    <n v="57"/>
    <n v="14"/>
    <n v="69"/>
    <n v="0"/>
    <n v="35"/>
    <n v="12"/>
    <n v="1590"/>
    <n v="66"/>
    <n v="50"/>
    <n v="17"/>
    <n v="3"/>
    <n v="12"/>
    <n v="3"/>
    <n v="26"/>
    <n v="0"/>
    <n v="2"/>
    <n v="10"/>
    <n v="15"/>
  </r>
  <r>
    <x v="0"/>
    <s v="Big Breakfast with Egg Whites (Large Biscuit)"/>
    <s v="10.1 oz (286 g)"/>
    <n v="690"/>
    <n v="370"/>
    <n v="41"/>
    <n v="63"/>
    <n v="14"/>
    <n v="72"/>
    <n v="0"/>
    <n v="35"/>
    <n v="12"/>
    <n v="1700"/>
    <n v="71"/>
    <n v="55"/>
    <n v="18"/>
    <n v="4"/>
    <n v="17"/>
    <n v="4"/>
    <n v="26"/>
    <n v="4"/>
    <n v="2"/>
    <n v="10"/>
    <n v="15"/>
  </r>
  <r>
    <x v="0"/>
    <s v="Big Breakfast with Hotcakes (Regular Biscuit)"/>
    <s v="14.8 oz (420 g)"/>
    <n v="1090"/>
    <n v="510"/>
    <n v="56"/>
    <n v="87"/>
    <n v="19"/>
    <n v="96"/>
    <n v="0"/>
    <n v="575"/>
    <n v="192"/>
    <n v="2150"/>
    <n v="90"/>
    <n v="111"/>
    <n v="37"/>
    <n v="6"/>
    <n v="23"/>
    <n v="17"/>
    <n v="36"/>
    <n v="15"/>
    <n v="2"/>
    <n v="25"/>
    <n v="40"/>
  </r>
  <r>
    <x v="0"/>
    <s v="Big Breakfast with Hotcakes (Large Biscuit)"/>
    <s v="15.3 oz (434 g)"/>
    <n v="1150"/>
    <n v="540"/>
    <n v="60"/>
    <n v="93"/>
    <n v="20"/>
    <n v="100"/>
    <n v="0"/>
    <n v="575"/>
    <n v="192"/>
    <n v="2260"/>
    <n v="94"/>
    <n v="116"/>
    <n v="39"/>
    <n v="7"/>
    <n v="28"/>
    <n v="17"/>
    <n v="36"/>
    <n v="15"/>
    <n v="2"/>
    <n v="30"/>
    <n v="40"/>
  </r>
  <r>
    <x v="0"/>
    <s v="Big Breakfast with Hotcakes and Egg Whites (Regular Biscuit)"/>
    <s v="14.9 oz (423 g)"/>
    <n v="990"/>
    <n v="410"/>
    <n v="46"/>
    <n v="70"/>
    <n v="16"/>
    <n v="78"/>
    <n v="0"/>
    <n v="55"/>
    <n v="19"/>
    <n v="2170"/>
    <n v="91"/>
    <n v="110"/>
    <n v="37"/>
    <n v="6"/>
    <n v="23"/>
    <n v="17"/>
    <n v="35"/>
    <n v="0"/>
    <n v="2"/>
    <n v="25"/>
    <n v="30"/>
  </r>
  <r>
    <x v="0"/>
    <s v="Big Breakfast with Hotcakes and Egg Whites (Large Biscuit)"/>
    <s v="15.4 oz (437 g)"/>
    <n v="1050"/>
    <n v="450"/>
    <n v="50"/>
    <n v="77"/>
    <n v="16"/>
    <n v="81"/>
    <n v="0"/>
    <n v="55"/>
    <n v="19"/>
    <n v="2290"/>
    <n v="95"/>
    <n v="115"/>
    <n v="38"/>
    <n v="7"/>
    <n v="28"/>
    <n v="18"/>
    <n v="35"/>
    <n v="4"/>
    <n v="2"/>
    <n v="25"/>
    <n v="30"/>
  </r>
  <r>
    <x v="0"/>
    <s v="Hotcakes"/>
    <s v="5.3 oz (151 g)"/>
    <n v="350"/>
    <n v="80"/>
    <n v="9"/>
    <n v="13"/>
    <n v="2"/>
    <n v="9"/>
    <n v="0"/>
    <n v="20"/>
    <n v="7"/>
    <n v="590"/>
    <n v="24"/>
    <n v="60"/>
    <n v="20"/>
    <n v="3"/>
    <n v="10"/>
    <n v="14"/>
    <n v="8"/>
    <n v="0"/>
    <n v="0"/>
    <n v="15"/>
    <n v="15"/>
  </r>
  <r>
    <x v="0"/>
    <s v="Hotcakes and Sausage"/>
    <s v="6.8 oz (192 g)"/>
    <n v="520"/>
    <n v="210"/>
    <n v="24"/>
    <n v="37"/>
    <n v="7"/>
    <n v="36"/>
    <n v="0"/>
    <n v="50"/>
    <n v="17"/>
    <n v="930"/>
    <n v="39"/>
    <n v="61"/>
    <n v="20"/>
    <n v="3"/>
    <n v="10"/>
    <n v="14"/>
    <n v="15"/>
    <n v="0"/>
    <n v="0"/>
    <n v="15"/>
    <n v="15"/>
  </r>
  <r>
    <x v="0"/>
    <s v="Sausage Burrito"/>
    <s v="3.9 oz (111 g)"/>
    <n v="300"/>
    <n v="150"/>
    <n v="16"/>
    <n v="25"/>
    <n v="7"/>
    <n v="33"/>
    <n v="0"/>
    <n v="115"/>
    <n v="38"/>
    <n v="790"/>
    <n v="33"/>
    <n v="26"/>
    <n v="9"/>
    <n v="1"/>
    <n v="5"/>
    <n v="2"/>
    <n v="12"/>
    <n v="10"/>
    <n v="2"/>
    <n v="15"/>
    <n v="15"/>
  </r>
  <r>
    <x v="0"/>
    <s v="Hash Brown"/>
    <s v="2 oz (56 g)"/>
    <n v="150"/>
    <n v="80"/>
    <n v="9"/>
    <n v="14"/>
    <n v="1.5"/>
    <n v="6"/>
    <n v="0"/>
    <n v="0"/>
    <n v="0"/>
    <n v="310"/>
    <n v="13"/>
    <n v="15"/>
    <n v="5"/>
    <n v="2"/>
    <n v="6"/>
    <n v="0"/>
    <n v="1"/>
    <n v="0"/>
    <n v="2"/>
    <n v="0"/>
    <n v="2"/>
  </r>
  <r>
    <x v="0"/>
    <s v="Cinnamon Melts"/>
    <s v="4 oz (114 g)"/>
    <n v="460"/>
    <n v="170"/>
    <n v="19"/>
    <n v="30"/>
    <n v="9"/>
    <n v="43"/>
    <n v="0"/>
    <n v="15"/>
    <n v="5"/>
    <n v="370"/>
    <n v="15"/>
    <n v="66"/>
    <n v="22"/>
    <n v="3"/>
    <n v="11"/>
    <n v="32"/>
    <n v="6"/>
    <n v="4"/>
    <n v="0"/>
    <n v="6"/>
    <n v="15"/>
  </r>
  <r>
    <x v="0"/>
    <s v="Fruit &amp; Maple Oatmeal"/>
    <s v="9.6 oz (251 g)"/>
    <n v="290"/>
    <n v="35"/>
    <n v="4"/>
    <n v="6"/>
    <n v="1.5"/>
    <n v="8"/>
    <n v="0"/>
    <n v="5"/>
    <n v="2"/>
    <n v="160"/>
    <n v="7"/>
    <n v="58"/>
    <n v="19"/>
    <n v="5"/>
    <n v="19"/>
    <n v="32"/>
    <n v="5"/>
    <n v="2"/>
    <n v="130"/>
    <n v="10"/>
    <n v="10"/>
  </r>
  <r>
    <x v="0"/>
    <s v="Fruit &amp; Maple Oatmeal without Brown Sugar"/>
    <s v="9.6 oz (251 g)"/>
    <n v="260"/>
    <n v="40"/>
    <n v="4"/>
    <n v="6"/>
    <n v="1.5"/>
    <n v="8"/>
    <n v="0"/>
    <n v="5"/>
    <n v="2"/>
    <n v="115"/>
    <n v="5"/>
    <n v="49"/>
    <n v="16"/>
    <n v="5"/>
    <n v="22"/>
    <n v="18"/>
    <n v="5"/>
    <n v="2"/>
    <n v="130"/>
    <n v="6"/>
    <n v="10"/>
  </r>
  <r>
    <x v="1"/>
    <s v="Big Mac"/>
    <s v="7.4 oz (211 g)"/>
    <n v="530"/>
    <n v="240"/>
    <n v="27"/>
    <n v="42"/>
    <n v="10"/>
    <n v="48"/>
    <n v="1"/>
    <n v="85"/>
    <n v="28"/>
    <n v="960"/>
    <n v="40"/>
    <n v="47"/>
    <n v="16"/>
    <n v="3"/>
    <n v="13"/>
    <n v="9"/>
    <n v="24"/>
    <n v="6"/>
    <n v="2"/>
    <n v="25"/>
    <n v="25"/>
  </r>
  <r>
    <x v="1"/>
    <s v="Quarter Pounder with Cheese"/>
    <s v="7.1 oz (202 g)"/>
    <n v="520"/>
    <n v="240"/>
    <n v="26"/>
    <n v="41"/>
    <n v="12"/>
    <n v="61"/>
    <n v="1.5"/>
    <n v="95"/>
    <n v="31"/>
    <n v="1100"/>
    <n v="46"/>
    <n v="41"/>
    <n v="14"/>
    <n v="3"/>
    <n v="11"/>
    <n v="10"/>
    <n v="30"/>
    <n v="10"/>
    <n v="2"/>
    <n v="30"/>
    <n v="25"/>
  </r>
  <r>
    <x v="1"/>
    <s v="Quarter Pounder with Bacon &amp; Cheese"/>
    <s v="8 oz (227 g)"/>
    <n v="600"/>
    <n v="260"/>
    <n v="29"/>
    <n v="45"/>
    <n v="13"/>
    <n v="63"/>
    <n v="1.5"/>
    <n v="105"/>
    <n v="34"/>
    <n v="1440"/>
    <n v="60"/>
    <n v="48"/>
    <n v="16"/>
    <n v="3"/>
    <n v="12"/>
    <n v="12"/>
    <n v="37"/>
    <n v="6"/>
    <n v="15"/>
    <n v="25"/>
    <n v="30"/>
  </r>
  <r>
    <x v="1"/>
    <s v="Quarter Pounder with Bacon Habanero Ranch"/>
    <s v="8.3 oz (235 g)"/>
    <n v="610"/>
    <n v="280"/>
    <n v="31"/>
    <n v="48"/>
    <n v="13"/>
    <n v="64"/>
    <n v="1.5"/>
    <n v="105"/>
    <n v="35"/>
    <n v="1180"/>
    <n v="49"/>
    <n v="46"/>
    <n v="15"/>
    <n v="3"/>
    <n v="14"/>
    <n v="10"/>
    <n v="37"/>
    <n v="8"/>
    <n v="20"/>
    <n v="25"/>
    <n v="30"/>
  </r>
  <r>
    <x v="1"/>
    <s v="Quarter Pounder Deluxe"/>
    <s v="8.6 oz (244 g)"/>
    <n v="540"/>
    <n v="250"/>
    <n v="27"/>
    <n v="42"/>
    <n v="11"/>
    <n v="54"/>
    <n v="1.5"/>
    <n v="85"/>
    <n v="28"/>
    <n v="960"/>
    <n v="40"/>
    <n v="45"/>
    <n v="15"/>
    <n v="3"/>
    <n v="13"/>
    <n v="9"/>
    <n v="29"/>
    <n v="10"/>
    <n v="8"/>
    <n v="25"/>
    <n v="30"/>
  </r>
  <r>
    <x v="1"/>
    <s v="Double Quarter Pounder with Cheese"/>
    <s v="10 oz (283 g)"/>
    <n v="750"/>
    <n v="380"/>
    <n v="43"/>
    <n v="66"/>
    <n v="19"/>
    <n v="96"/>
    <n v="2.5"/>
    <n v="160"/>
    <n v="53"/>
    <n v="1280"/>
    <n v="53"/>
    <n v="42"/>
    <n v="14"/>
    <n v="3"/>
    <n v="11"/>
    <n v="10"/>
    <n v="48"/>
    <n v="10"/>
    <n v="2"/>
    <n v="30"/>
    <n v="35"/>
  </r>
  <r>
    <x v="1"/>
    <s v="Hamburger"/>
    <s v="3.5 oz (98 g)"/>
    <n v="240"/>
    <n v="70"/>
    <n v="8"/>
    <n v="12"/>
    <n v="3"/>
    <n v="15"/>
    <n v="0"/>
    <n v="30"/>
    <n v="10"/>
    <n v="480"/>
    <n v="20"/>
    <n v="32"/>
    <n v="11"/>
    <n v="1"/>
    <n v="6"/>
    <n v="6"/>
    <n v="12"/>
    <n v="2"/>
    <n v="2"/>
    <n v="10"/>
    <n v="15"/>
  </r>
  <r>
    <x v="1"/>
    <s v="Cheeseburger"/>
    <s v="4 oz (113 g)"/>
    <n v="290"/>
    <n v="100"/>
    <n v="11"/>
    <n v="18"/>
    <n v="5"/>
    <n v="27"/>
    <n v="0.5"/>
    <n v="45"/>
    <n v="15"/>
    <n v="680"/>
    <n v="28"/>
    <n v="33"/>
    <n v="11"/>
    <n v="2"/>
    <n v="7"/>
    <n v="7"/>
    <n v="15"/>
    <n v="6"/>
    <n v="2"/>
    <n v="20"/>
    <n v="15"/>
  </r>
  <r>
    <x v="1"/>
    <s v="Double Cheeseburger"/>
    <s v="5.7 oz (161 g)"/>
    <n v="430"/>
    <n v="190"/>
    <n v="21"/>
    <n v="32"/>
    <n v="10"/>
    <n v="52"/>
    <n v="1"/>
    <n v="90"/>
    <n v="30"/>
    <n v="1040"/>
    <n v="43"/>
    <n v="35"/>
    <n v="12"/>
    <n v="2"/>
    <n v="8"/>
    <n v="7"/>
    <n v="24"/>
    <n v="10"/>
    <n v="2"/>
    <n v="30"/>
    <n v="20"/>
  </r>
  <r>
    <x v="1"/>
    <s v="Bacon Clubhouse Burger"/>
    <s v="9.5 oz (270 g)"/>
    <n v="720"/>
    <n v="360"/>
    <n v="40"/>
    <n v="62"/>
    <n v="15"/>
    <n v="75"/>
    <n v="1.5"/>
    <n v="115"/>
    <n v="38"/>
    <n v="1470"/>
    <n v="61"/>
    <n v="51"/>
    <n v="17"/>
    <n v="4"/>
    <n v="14"/>
    <n v="14"/>
    <n v="39"/>
    <n v="8"/>
    <n v="25"/>
    <n v="30"/>
    <n v="25"/>
  </r>
  <r>
    <x v="1"/>
    <s v="McDouble"/>
    <s v="5.2 oz (147 g)"/>
    <n v="380"/>
    <n v="150"/>
    <n v="17"/>
    <n v="26"/>
    <n v="8"/>
    <n v="40"/>
    <n v="1"/>
    <n v="75"/>
    <n v="25"/>
    <n v="840"/>
    <n v="35"/>
    <n v="34"/>
    <n v="11"/>
    <n v="2"/>
    <n v="7"/>
    <n v="7"/>
    <n v="22"/>
    <n v="6"/>
    <n v="2"/>
    <n v="20"/>
    <n v="20"/>
  </r>
  <r>
    <x v="1"/>
    <s v="Bacon McDouble"/>
    <s v="5.7 oz (161 g)"/>
    <n v="440"/>
    <n v="200"/>
    <n v="22"/>
    <n v="34"/>
    <n v="10"/>
    <n v="49"/>
    <n v="1"/>
    <n v="90"/>
    <n v="30"/>
    <n v="1110"/>
    <n v="46"/>
    <n v="35"/>
    <n v="12"/>
    <n v="2"/>
    <n v="7"/>
    <n v="7"/>
    <n v="27"/>
    <n v="6"/>
    <n v="10"/>
    <n v="20"/>
    <n v="20"/>
  </r>
  <r>
    <x v="1"/>
    <s v="Daily Double"/>
    <s v="6.7 oz (190 g)"/>
    <n v="430"/>
    <n v="200"/>
    <n v="22"/>
    <n v="35"/>
    <n v="9"/>
    <n v="44"/>
    <n v="1"/>
    <n v="80"/>
    <n v="27"/>
    <n v="760"/>
    <n v="32"/>
    <n v="34"/>
    <n v="11"/>
    <n v="2"/>
    <n v="8"/>
    <n v="7"/>
    <n v="22"/>
    <n v="8"/>
    <n v="8"/>
    <n v="20"/>
    <n v="20"/>
  </r>
  <r>
    <x v="1"/>
    <s v="JalapeÃ±o Double"/>
    <s v="5.6 oz (159 g)"/>
    <n v="430"/>
    <n v="210"/>
    <n v="23"/>
    <n v="36"/>
    <n v="9"/>
    <n v="44"/>
    <n v="1"/>
    <n v="80"/>
    <n v="27"/>
    <n v="1030"/>
    <n v="43"/>
    <n v="35"/>
    <n v="12"/>
    <n v="2"/>
    <n v="7"/>
    <n v="6"/>
    <n v="22"/>
    <n v="6"/>
    <n v="8"/>
    <n v="20"/>
    <n v="20"/>
  </r>
  <r>
    <x v="1"/>
    <s v="McRib"/>
    <s v="7.3 oz (208 g)"/>
    <n v="500"/>
    <n v="240"/>
    <n v="26"/>
    <n v="40"/>
    <n v="10"/>
    <n v="48"/>
    <n v="0"/>
    <n v="70"/>
    <n v="23"/>
    <n v="980"/>
    <n v="41"/>
    <n v="44"/>
    <n v="15"/>
    <n v="3"/>
    <n v="10"/>
    <n v="11"/>
    <n v="22"/>
    <n v="2"/>
    <n v="2"/>
    <n v="15"/>
    <n v="20"/>
  </r>
  <r>
    <x v="2"/>
    <s v="Premium Crispy Chicken Classic Sandwich"/>
    <s v="7.5 oz (213 g)"/>
    <n v="510"/>
    <n v="200"/>
    <n v="22"/>
    <n v="33"/>
    <n v="3.5"/>
    <n v="18"/>
    <n v="0"/>
    <n v="45"/>
    <n v="16"/>
    <n v="990"/>
    <n v="41"/>
    <n v="55"/>
    <n v="18"/>
    <n v="3"/>
    <n v="13"/>
    <n v="10"/>
    <n v="24"/>
    <n v="4"/>
    <n v="6"/>
    <n v="15"/>
    <n v="20"/>
  </r>
  <r>
    <x v="2"/>
    <s v="Premium Grilled Chicken Classic Sandwich"/>
    <s v="7 oz (200 g)"/>
    <n v="350"/>
    <n v="80"/>
    <n v="9"/>
    <n v="13"/>
    <n v="2"/>
    <n v="9"/>
    <n v="0"/>
    <n v="65"/>
    <n v="22"/>
    <n v="820"/>
    <n v="34"/>
    <n v="42"/>
    <n v="14"/>
    <n v="3"/>
    <n v="13"/>
    <n v="8"/>
    <n v="28"/>
    <n v="4"/>
    <n v="8"/>
    <n v="15"/>
    <n v="20"/>
  </r>
  <r>
    <x v="2"/>
    <s v="Premium Crispy Chicken Club Sandwich"/>
    <s v="8.8 oz (249 g)"/>
    <n v="670"/>
    <n v="300"/>
    <n v="33"/>
    <n v="51"/>
    <n v="9"/>
    <n v="44"/>
    <n v="0"/>
    <n v="85"/>
    <n v="29"/>
    <n v="1410"/>
    <n v="59"/>
    <n v="58"/>
    <n v="19"/>
    <n v="3"/>
    <n v="14"/>
    <n v="11"/>
    <n v="36"/>
    <n v="8"/>
    <n v="20"/>
    <n v="30"/>
    <n v="20"/>
  </r>
  <r>
    <x v="2"/>
    <s v="Premium Grilled Chicken Club Sandwich"/>
    <s v="8.3 oz (235 g)"/>
    <n v="510"/>
    <n v="180"/>
    <n v="20"/>
    <n v="31"/>
    <n v="7"/>
    <n v="36"/>
    <n v="0"/>
    <n v="105"/>
    <n v="35"/>
    <n v="1250"/>
    <n v="52"/>
    <n v="44"/>
    <n v="15"/>
    <n v="3"/>
    <n v="13"/>
    <n v="9"/>
    <n v="40"/>
    <n v="8"/>
    <n v="20"/>
    <n v="30"/>
    <n v="20"/>
  </r>
  <r>
    <x v="2"/>
    <s v="Premium Crispy Chicken Ranch BLT Sandwich"/>
    <s v="8.1 oz (230 g)"/>
    <n v="610"/>
    <n v="250"/>
    <n v="28"/>
    <n v="43"/>
    <n v="6"/>
    <n v="31"/>
    <n v="0"/>
    <n v="70"/>
    <n v="24"/>
    <n v="1400"/>
    <n v="58"/>
    <n v="57"/>
    <n v="19"/>
    <n v="3"/>
    <n v="13"/>
    <n v="11"/>
    <n v="32"/>
    <n v="4"/>
    <n v="20"/>
    <n v="15"/>
    <n v="20"/>
  </r>
  <r>
    <x v="2"/>
    <s v="Premium Grilled Chicken Ranch BLT Sandwich"/>
    <s v="7.6 oz (217 g)"/>
    <n v="450"/>
    <n v="130"/>
    <n v="15"/>
    <n v="23"/>
    <n v="4.5"/>
    <n v="22"/>
    <n v="0"/>
    <n v="90"/>
    <n v="30"/>
    <n v="1230"/>
    <n v="51"/>
    <n v="43"/>
    <n v="14"/>
    <n v="3"/>
    <n v="13"/>
    <n v="9"/>
    <n v="36"/>
    <n v="4"/>
    <n v="20"/>
    <n v="15"/>
    <n v="20"/>
  </r>
  <r>
    <x v="2"/>
    <s v="Bacon Clubhouse Crispy Chicken Sandwich"/>
    <s v="10 oz (284 g)"/>
    <n v="750"/>
    <n v="340"/>
    <n v="38"/>
    <n v="59"/>
    <n v="10"/>
    <n v="51"/>
    <n v="0.5"/>
    <n v="90"/>
    <n v="31"/>
    <n v="1720"/>
    <n v="72"/>
    <n v="65"/>
    <n v="22"/>
    <n v="4"/>
    <n v="15"/>
    <n v="16"/>
    <n v="36"/>
    <n v="8"/>
    <n v="25"/>
    <n v="30"/>
    <n v="15"/>
  </r>
  <r>
    <x v="2"/>
    <s v="Bacon Clubhouse Grilled Chicken Sandwich"/>
    <s v="9.5 oz (270 g)"/>
    <n v="590"/>
    <n v="230"/>
    <n v="25"/>
    <n v="39"/>
    <n v="8"/>
    <n v="42"/>
    <n v="0"/>
    <n v="110"/>
    <n v="37"/>
    <n v="1560"/>
    <n v="65"/>
    <n v="51"/>
    <n v="17"/>
    <n v="4"/>
    <n v="15"/>
    <n v="14"/>
    <n v="40"/>
    <n v="8"/>
    <n v="30"/>
    <n v="30"/>
    <n v="15"/>
  </r>
  <r>
    <x v="2"/>
    <s v="Southern Style Crispy Chicken Sandwich"/>
    <s v="5.6 oz (160 g)"/>
    <n v="430"/>
    <n v="170"/>
    <n v="19"/>
    <n v="29"/>
    <n v="3"/>
    <n v="15"/>
    <n v="0"/>
    <n v="45"/>
    <n v="14"/>
    <n v="910"/>
    <n v="38"/>
    <n v="43"/>
    <n v="14"/>
    <n v="2"/>
    <n v="7"/>
    <n v="7"/>
    <n v="21"/>
    <n v="4"/>
    <n v="2"/>
    <n v="15"/>
    <n v="15"/>
  </r>
  <r>
    <x v="2"/>
    <s v="McChicken"/>
    <s v="5.1 oz (143 g)"/>
    <n v="360"/>
    <n v="140"/>
    <n v="16"/>
    <n v="25"/>
    <n v="3"/>
    <n v="15"/>
    <n v="0"/>
    <n v="35"/>
    <n v="11"/>
    <n v="800"/>
    <n v="33"/>
    <n v="40"/>
    <n v="13"/>
    <n v="2"/>
    <n v="7"/>
    <n v="5"/>
    <n v="14"/>
    <n v="0"/>
    <n v="2"/>
    <n v="10"/>
    <n v="15"/>
  </r>
  <r>
    <x v="2"/>
    <s v="Bacon Cheddar McChicken"/>
    <s v="6 oz (171 g)"/>
    <n v="480"/>
    <n v="220"/>
    <n v="24"/>
    <n v="38"/>
    <n v="7"/>
    <n v="35"/>
    <n v="0"/>
    <n v="65"/>
    <n v="21"/>
    <n v="1260"/>
    <n v="53"/>
    <n v="43"/>
    <n v="14"/>
    <n v="2"/>
    <n v="8"/>
    <n v="6"/>
    <n v="22"/>
    <n v="4"/>
    <n v="10"/>
    <n v="20"/>
    <n v="15"/>
  </r>
  <r>
    <x v="2"/>
    <s v="Bacon Buffalo Ranch McChicken"/>
    <s v="5.7 oz (161 g)"/>
    <n v="430"/>
    <n v="190"/>
    <n v="21"/>
    <n v="32"/>
    <n v="5"/>
    <n v="25"/>
    <n v="0"/>
    <n v="50"/>
    <n v="17"/>
    <n v="1260"/>
    <n v="53"/>
    <n v="41"/>
    <n v="14"/>
    <n v="2"/>
    <n v="7"/>
    <n v="6"/>
    <n v="20"/>
    <n v="2"/>
    <n v="10"/>
    <n v="15"/>
    <n v="15"/>
  </r>
  <r>
    <x v="2"/>
    <s v="Buffalo Ranch McChicken"/>
    <s v="5.2 oz (148 g)"/>
    <n v="360"/>
    <n v="150"/>
    <n v="16"/>
    <n v="25"/>
    <n v="3"/>
    <n v="16"/>
    <n v="0"/>
    <n v="35"/>
    <n v="11"/>
    <n v="990"/>
    <n v="41"/>
    <n v="40"/>
    <n v="13"/>
    <n v="2"/>
    <n v="7"/>
    <n v="5"/>
    <n v="14"/>
    <n v="2"/>
    <n v="2"/>
    <n v="15"/>
    <n v="15"/>
  </r>
  <r>
    <x v="2"/>
    <s v="Premium McWrap Chicken &amp; Bacon (Crispy Chicken)"/>
    <s v="11.1 oz (316 g)"/>
    <n v="630"/>
    <n v="280"/>
    <n v="32"/>
    <n v="49"/>
    <n v="9"/>
    <n v="45"/>
    <n v="0.5"/>
    <n v="80"/>
    <n v="26"/>
    <n v="1540"/>
    <n v="64"/>
    <n v="56"/>
    <n v="19"/>
    <n v="3"/>
    <n v="13"/>
    <n v="7"/>
    <n v="32"/>
    <n v="60"/>
    <n v="20"/>
    <n v="20"/>
    <n v="20"/>
  </r>
  <r>
    <x v="2"/>
    <s v="Premium McWrap Chicken &amp; Bacon (Grilled Chicken)"/>
    <s v="10.7 oz (302 g)"/>
    <n v="480"/>
    <n v="170"/>
    <n v="19"/>
    <n v="28"/>
    <n v="7"/>
    <n v="36"/>
    <n v="0"/>
    <n v="95"/>
    <n v="32"/>
    <n v="1370"/>
    <n v="57"/>
    <n v="42"/>
    <n v="14"/>
    <n v="3"/>
    <n v="13"/>
    <n v="6"/>
    <n v="36"/>
    <n v="60"/>
    <n v="25"/>
    <n v="20"/>
    <n v="20"/>
  </r>
  <r>
    <x v="2"/>
    <s v="Premium McWrap Chicken &amp; Ranch (Crispy Chicken)"/>
    <s v="10.9 oz (310 g)"/>
    <n v="610"/>
    <n v="280"/>
    <n v="31"/>
    <n v="47"/>
    <n v="8"/>
    <n v="40"/>
    <n v="0.5"/>
    <n v="65"/>
    <n v="21"/>
    <n v="1340"/>
    <n v="56"/>
    <n v="56"/>
    <n v="19"/>
    <n v="3"/>
    <n v="14"/>
    <n v="8"/>
    <n v="27"/>
    <n v="60"/>
    <n v="15"/>
    <n v="20"/>
    <n v="20"/>
  </r>
  <r>
    <x v="2"/>
    <s v="Premium McWrap Chicken &amp; Ranch (Grilled Chicken)"/>
    <s v="10.5 oz (297 g)"/>
    <n v="450"/>
    <n v="160"/>
    <n v="18"/>
    <n v="27"/>
    <n v="6"/>
    <n v="31"/>
    <n v="0.5"/>
    <n v="80"/>
    <n v="27"/>
    <n v="1170"/>
    <n v="49"/>
    <n v="42"/>
    <n v="14"/>
    <n v="3"/>
    <n v="14"/>
    <n v="6"/>
    <n v="30"/>
    <n v="60"/>
    <n v="15"/>
    <n v="15"/>
    <n v="20"/>
  </r>
  <r>
    <x v="2"/>
    <s v="Premium McWrap Southwest Chicken (Crispy Chicken)"/>
    <s v="11.1 oz (314 g)"/>
    <n v="670"/>
    <n v="300"/>
    <n v="33"/>
    <n v="51"/>
    <n v="8"/>
    <n v="40"/>
    <n v="0.5"/>
    <n v="60"/>
    <n v="21"/>
    <n v="1480"/>
    <n v="62"/>
    <n v="68"/>
    <n v="23"/>
    <n v="5"/>
    <n v="19"/>
    <n v="12"/>
    <n v="27"/>
    <n v="60"/>
    <n v="15"/>
    <n v="20"/>
    <n v="20"/>
  </r>
  <r>
    <x v="2"/>
    <s v="Premium McWrap Southwest Chicken (Grilled Chicken)"/>
    <s v="11.2 oz (318 g)"/>
    <n v="520"/>
    <n v="180"/>
    <n v="20"/>
    <n v="31"/>
    <n v="6"/>
    <n v="32"/>
    <n v="0"/>
    <n v="80"/>
    <n v="27"/>
    <n v="1320"/>
    <n v="55"/>
    <n v="55"/>
    <n v="18"/>
    <n v="5"/>
    <n v="20"/>
    <n v="10"/>
    <n v="31"/>
    <n v="70"/>
    <n v="15"/>
    <n v="20"/>
    <n v="20"/>
  </r>
  <r>
    <x v="2"/>
    <s v="Premium McWrap Chicken Sweet Chili (Crispy Chicken)"/>
    <s v="10.7 oz (304 g)"/>
    <n v="540"/>
    <n v="200"/>
    <n v="23"/>
    <n v="35"/>
    <n v="4.5"/>
    <n v="23"/>
    <n v="0"/>
    <n v="50"/>
    <n v="16"/>
    <n v="1260"/>
    <n v="52"/>
    <n v="61"/>
    <n v="20"/>
    <n v="3"/>
    <n v="13"/>
    <n v="14"/>
    <n v="23"/>
    <n v="60"/>
    <n v="15"/>
    <n v="8"/>
    <n v="20"/>
  </r>
  <r>
    <x v="2"/>
    <s v="Premium McWrap Chicken Sweet Chili (Grilled Chicken)"/>
    <s v="10.3 oz (291 g)"/>
    <n v="380"/>
    <n v="90"/>
    <n v="10"/>
    <n v="15"/>
    <n v="3"/>
    <n v="14"/>
    <n v="0"/>
    <n v="65"/>
    <n v="22"/>
    <n v="1090"/>
    <n v="45"/>
    <n v="47"/>
    <n v="16"/>
    <n v="3"/>
    <n v="13"/>
    <n v="12"/>
    <n v="27"/>
    <n v="60"/>
    <n v="15"/>
    <n v="8"/>
    <n v="20"/>
  </r>
  <r>
    <x v="2"/>
    <s v="Chicken McNuggets (4 piece)"/>
    <s v="2.3 oz (65 g)"/>
    <n v="190"/>
    <n v="110"/>
    <n v="12"/>
    <n v="18"/>
    <n v="2"/>
    <n v="10"/>
    <n v="0"/>
    <n v="25"/>
    <n v="9"/>
    <n v="360"/>
    <n v="15"/>
    <n v="12"/>
    <n v="4"/>
    <n v="1"/>
    <n v="2"/>
    <n v="0"/>
    <n v="9"/>
    <n v="0"/>
    <n v="2"/>
    <n v="0"/>
    <n v="2"/>
  </r>
  <r>
    <x v="2"/>
    <s v="Chicken McNuggets (6 piece)"/>
    <s v="3.4 oz (97 g)"/>
    <n v="280"/>
    <n v="160"/>
    <n v="18"/>
    <n v="27"/>
    <n v="3"/>
    <n v="15"/>
    <n v="0"/>
    <n v="40"/>
    <n v="13"/>
    <n v="540"/>
    <n v="22"/>
    <n v="18"/>
    <n v="6"/>
    <n v="1"/>
    <n v="4"/>
    <n v="0"/>
    <n v="13"/>
    <n v="0"/>
    <n v="2"/>
    <n v="2"/>
    <n v="4"/>
  </r>
  <r>
    <x v="2"/>
    <s v="Chicken McNuggets (10 piece)"/>
    <s v="5.7 oz (162 g)"/>
    <n v="470"/>
    <n v="270"/>
    <n v="30"/>
    <n v="45"/>
    <n v="5"/>
    <n v="25"/>
    <n v="0"/>
    <n v="65"/>
    <n v="22"/>
    <n v="900"/>
    <n v="37"/>
    <n v="30"/>
    <n v="10"/>
    <n v="2"/>
    <n v="6"/>
    <n v="0"/>
    <n v="22"/>
    <n v="0"/>
    <n v="4"/>
    <n v="2"/>
    <n v="6"/>
  </r>
  <r>
    <x v="2"/>
    <s v="Chicken McNuggets (20 piece)"/>
    <s v="11.4 oz (323 g)"/>
    <n v="940"/>
    <n v="530"/>
    <n v="59"/>
    <n v="91"/>
    <n v="10"/>
    <n v="50"/>
    <n v="0"/>
    <n v="135"/>
    <n v="44"/>
    <n v="1800"/>
    <n v="75"/>
    <n v="59"/>
    <n v="20"/>
    <n v="3"/>
    <n v="12"/>
    <n v="0"/>
    <n v="44"/>
    <n v="0"/>
    <n v="8"/>
    <n v="4"/>
    <n v="10"/>
  </r>
  <r>
    <x v="2"/>
    <s v="Chicken McNuggets (40 piece)"/>
    <s v="22.8 oz (646 g)"/>
    <n v="1880"/>
    <n v="1060"/>
    <n v="118"/>
    <n v="182"/>
    <n v="20"/>
    <n v="101"/>
    <n v="1"/>
    <n v="265"/>
    <n v="89"/>
    <n v="3600"/>
    <n v="150"/>
    <n v="118"/>
    <n v="39"/>
    <n v="6"/>
    <n v="24"/>
    <n v="1"/>
    <n v="87"/>
    <n v="0"/>
    <n v="15"/>
    <n v="8"/>
    <n v="25"/>
  </r>
  <r>
    <x v="2"/>
    <s v="Filet-O-Fish"/>
    <s v="5 oz (142 g)"/>
    <n v="390"/>
    <n v="170"/>
    <n v="19"/>
    <n v="29"/>
    <n v="4"/>
    <n v="19"/>
    <n v="0"/>
    <n v="40"/>
    <n v="14"/>
    <n v="590"/>
    <n v="24"/>
    <n v="39"/>
    <n v="13"/>
    <n v="2"/>
    <n v="7"/>
    <n v="5"/>
    <n v="15"/>
    <n v="2"/>
    <n v="0"/>
    <n v="15"/>
    <n v="10"/>
  </r>
  <r>
    <x v="3"/>
    <s v="Premium Bacon Ranch Salad (without Chicken)"/>
    <s v="7.9 oz (223 g)"/>
    <n v="140"/>
    <n v="70"/>
    <n v="7"/>
    <n v="11"/>
    <n v="3.5"/>
    <n v="18"/>
    <n v="0"/>
    <n v="25"/>
    <n v="9"/>
    <n v="300"/>
    <n v="13"/>
    <n v="10"/>
    <n v="3"/>
    <n v="3"/>
    <n v="12"/>
    <n v="4"/>
    <n v="9"/>
    <n v="170"/>
    <n v="30"/>
    <n v="15"/>
    <n v="6"/>
  </r>
  <r>
    <x v="3"/>
    <s v="Premium Bacon Ranch Salad with Crispy Chicken"/>
    <s v="9 oz (255 g)"/>
    <n v="380"/>
    <n v="190"/>
    <n v="21"/>
    <n v="33"/>
    <n v="6"/>
    <n v="29"/>
    <n v="0"/>
    <n v="70"/>
    <n v="23"/>
    <n v="860"/>
    <n v="36"/>
    <n v="22"/>
    <n v="7"/>
    <n v="2"/>
    <n v="10"/>
    <n v="5"/>
    <n v="25"/>
    <n v="100"/>
    <n v="25"/>
    <n v="15"/>
    <n v="8"/>
  </r>
  <r>
    <x v="3"/>
    <s v="Premium Bacon Ranch Salad with Grilled Chicken"/>
    <s v="8.5 oz (241 g)"/>
    <n v="220"/>
    <n v="80"/>
    <n v="8"/>
    <n v="13"/>
    <n v="4"/>
    <n v="20"/>
    <n v="0"/>
    <n v="85"/>
    <n v="29"/>
    <n v="690"/>
    <n v="29"/>
    <n v="8"/>
    <n v="3"/>
    <n v="2"/>
    <n v="10"/>
    <n v="4"/>
    <n v="29"/>
    <n v="110"/>
    <n v="30"/>
    <n v="15"/>
    <n v="8"/>
  </r>
  <r>
    <x v="3"/>
    <s v="Premium Southwest Salad (without Chicken)"/>
    <s v="8.1 oz (230 g)"/>
    <n v="140"/>
    <n v="40"/>
    <n v="4.5"/>
    <n v="7"/>
    <n v="2"/>
    <n v="9"/>
    <n v="0"/>
    <n v="10"/>
    <n v="3"/>
    <n v="150"/>
    <n v="6"/>
    <n v="20"/>
    <n v="7"/>
    <n v="6"/>
    <n v="23"/>
    <n v="6"/>
    <n v="6"/>
    <n v="160"/>
    <n v="25"/>
    <n v="15"/>
    <n v="10"/>
  </r>
  <r>
    <x v="3"/>
    <s v="Premium Southwest Salad with Crispy Chicken"/>
    <s v="12.3 oz (348 g)"/>
    <n v="450"/>
    <n v="190"/>
    <n v="22"/>
    <n v="33"/>
    <n v="4.5"/>
    <n v="22"/>
    <n v="0"/>
    <n v="50"/>
    <n v="17"/>
    <n v="850"/>
    <n v="35"/>
    <n v="42"/>
    <n v="14"/>
    <n v="7"/>
    <n v="28"/>
    <n v="12"/>
    <n v="23"/>
    <n v="170"/>
    <n v="30"/>
    <n v="15"/>
    <n v="15"/>
  </r>
  <r>
    <x v="3"/>
    <s v="Premium Southwest Salad with Grilled Chicken"/>
    <s v="11.8 oz (335 g)"/>
    <n v="290"/>
    <n v="80"/>
    <n v="8"/>
    <n v="13"/>
    <n v="2.5"/>
    <n v="13"/>
    <n v="0"/>
    <n v="70"/>
    <n v="23"/>
    <n v="680"/>
    <n v="28"/>
    <n v="28"/>
    <n v="9"/>
    <n v="7"/>
    <n v="28"/>
    <n v="10"/>
    <n v="27"/>
    <n v="170"/>
    <n v="30"/>
    <n v="15"/>
    <n v="15"/>
  </r>
  <r>
    <x v="4"/>
    <s v="Chipotle BBQ Snack Wrap (Crispy Chicken)"/>
    <s v="4.6 oz (130 g)"/>
    <n v="340"/>
    <n v="130"/>
    <n v="15"/>
    <n v="23"/>
    <n v="4.5"/>
    <n v="22"/>
    <n v="0"/>
    <n v="30"/>
    <n v="11"/>
    <n v="780"/>
    <n v="33"/>
    <n v="37"/>
    <n v="12"/>
    <n v="1"/>
    <n v="6"/>
    <n v="8"/>
    <n v="14"/>
    <n v="4"/>
    <n v="0"/>
    <n v="10"/>
    <n v="10"/>
  </r>
  <r>
    <x v="4"/>
    <s v="Chipotle BBQ Snack Wrap (Grilled Chicken)"/>
    <s v="4.3 oz (123 g)"/>
    <n v="260"/>
    <n v="70"/>
    <n v="8"/>
    <n v="13"/>
    <n v="3.5"/>
    <n v="18"/>
    <n v="0"/>
    <n v="40"/>
    <n v="14"/>
    <n v="700"/>
    <n v="29"/>
    <n v="30"/>
    <n v="10"/>
    <n v="1"/>
    <n v="6"/>
    <n v="7"/>
    <n v="16"/>
    <n v="4"/>
    <n v="2"/>
    <n v="10"/>
    <n v="10"/>
  </r>
  <r>
    <x v="4"/>
    <s v="Honey Mustard Snack Wrap (Crispy Chicken)"/>
    <s v="4.3 oz (123 g)"/>
    <n v="330"/>
    <n v="130"/>
    <n v="15"/>
    <n v="23"/>
    <n v="4.5"/>
    <n v="22"/>
    <n v="0"/>
    <n v="35"/>
    <n v="11"/>
    <n v="730"/>
    <n v="30"/>
    <n v="34"/>
    <n v="11"/>
    <n v="1"/>
    <n v="5"/>
    <n v="3"/>
    <n v="14"/>
    <n v="2"/>
    <n v="0"/>
    <n v="10"/>
    <n v="10"/>
  </r>
  <r>
    <x v="4"/>
    <s v="Honey Mustard Snack Wrap (Grilled Chicken)"/>
    <s v="4.1 oz (116 g)"/>
    <n v="250"/>
    <n v="70"/>
    <n v="8"/>
    <n v="13"/>
    <n v="3.5"/>
    <n v="18"/>
    <n v="0"/>
    <n v="45"/>
    <n v="14"/>
    <n v="650"/>
    <n v="27"/>
    <n v="27"/>
    <n v="9"/>
    <n v="1"/>
    <n v="5"/>
    <n v="2"/>
    <n v="16"/>
    <n v="2"/>
    <n v="2"/>
    <n v="10"/>
    <n v="10"/>
  </r>
  <r>
    <x v="4"/>
    <s v="Ranch Snack Wrap (Crispy Chicken)"/>
    <s v="4.5 oz (128 g)"/>
    <n v="360"/>
    <n v="180"/>
    <n v="20"/>
    <n v="30"/>
    <n v="5"/>
    <n v="27"/>
    <n v="0"/>
    <n v="40"/>
    <n v="13"/>
    <n v="810"/>
    <n v="34"/>
    <n v="32"/>
    <n v="11"/>
    <n v="1"/>
    <n v="5"/>
    <n v="3"/>
    <n v="15"/>
    <n v="2"/>
    <n v="0"/>
    <n v="10"/>
    <n v="10"/>
  </r>
  <r>
    <x v="4"/>
    <s v="Ranch Snack Wrap (Grilled Chicken)"/>
    <s v="4.3 oz (121 g)"/>
    <n v="280"/>
    <n v="120"/>
    <n v="13"/>
    <n v="20"/>
    <n v="4.5"/>
    <n v="22"/>
    <n v="0"/>
    <n v="45"/>
    <n v="16"/>
    <n v="720"/>
    <n v="30"/>
    <n v="25"/>
    <n v="8"/>
    <n v="1"/>
    <n v="5"/>
    <n v="2"/>
    <n v="16"/>
    <n v="2"/>
    <n v="2"/>
    <n v="10"/>
    <n v="10"/>
  </r>
  <r>
    <x v="4"/>
    <s v="Small French Fries"/>
    <s v="2.6 oz (75 g)"/>
    <n v="230"/>
    <n v="100"/>
    <n v="11"/>
    <n v="17"/>
    <n v="1.5"/>
    <n v="8"/>
    <n v="0"/>
    <n v="0"/>
    <n v="0"/>
    <n v="130"/>
    <n v="5"/>
    <n v="30"/>
    <n v="10"/>
    <n v="2"/>
    <n v="10"/>
    <n v="0"/>
    <n v="2"/>
    <n v="0"/>
    <n v="30"/>
    <n v="0"/>
    <n v="4"/>
  </r>
  <r>
    <x v="4"/>
    <s v="Medium French Fries"/>
    <s v="3.9 oz (111 g)"/>
    <n v="340"/>
    <n v="140"/>
    <n v="16"/>
    <n v="24"/>
    <n v="2.5"/>
    <n v="11"/>
    <n v="0"/>
    <n v="0"/>
    <n v="0"/>
    <n v="190"/>
    <n v="8"/>
    <n v="44"/>
    <n v="15"/>
    <n v="4"/>
    <n v="14"/>
    <n v="0"/>
    <n v="4"/>
    <n v="0"/>
    <n v="45"/>
    <n v="2"/>
    <n v="4"/>
  </r>
  <r>
    <x v="4"/>
    <s v="Large French Fries"/>
    <s v="5.9 oz (168 g)"/>
    <n v="510"/>
    <n v="220"/>
    <n v="24"/>
    <n v="37"/>
    <n v="3.5"/>
    <n v="17"/>
    <n v="0"/>
    <n v="0"/>
    <n v="0"/>
    <n v="290"/>
    <n v="12"/>
    <n v="67"/>
    <n v="22"/>
    <n v="5"/>
    <n v="22"/>
    <n v="0"/>
    <n v="6"/>
    <n v="0"/>
    <n v="70"/>
    <n v="2"/>
    <n v="8"/>
  </r>
  <r>
    <x v="4"/>
    <s v="Kids French Fries"/>
    <s v="1.3 oz (38 g)"/>
    <n v="110"/>
    <n v="50"/>
    <n v="5"/>
    <n v="8"/>
    <n v="1"/>
    <n v="4"/>
    <n v="0"/>
    <n v="0"/>
    <n v="0"/>
    <n v="65"/>
    <n v="3"/>
    <n v="15"/>
    <n v="5"/>
    <n v="1"/>
    <n v="5"/>
    <n v="0"/>
    <n v="1"/>
    <n v="0"/>
    <n v="15"/>
    <n v="0"/>
    <n v="2"/>
  </r>
  <r>
    <x v="4"/>
    <s v="Side Salad"/>
    <s v="3.1 oz (87 g)"/>
    <n v="20"/>
    <n v="0"/>
    <n v="0"/>
    <n v="0"/>
    <n v="0"/>
    <n v="0"/>
    <n v="0"/>
    <n v="0"/>
    <n v="0"/>
    <n v="10"/>
    <n v="0"/>
    <n v="4"/>
    <n v="1"/>
    <n v="1"/>
    <n v="6"/>
    <n v="2"/>
    <n v="1"/>
    <n v="45"/>
    <n v="25"/>
    <n v="2"/>
    <n v="4"/>
  </r>
  <r>
    <x v="4"/>
    <s v="Apple Slices"/>
    <s v="1.2 oz (34 g)"/>
    <n v="15"/>
    <n v="0"/>
    <n v="0"/>
    <n v="0"/>
    <n v="0"/>
    <n v="0"/>
    <n v="0"/>
    <n v="0"/>
    <n v="0"/>
    <n v="0"/>
    <n v="0"/>
    <n v="4"/>
    <n v="1"/>
    <n v="0"/>
    <n v="0"/>
    <n v="3"/>
    <n v="0"/>
    <n v="0"/>
    <n v="160"/>
    <n v="2"/>
    <n v="0"/>
  </r>
  <r>
    <x v="4"/>
    <s v="Fruit 'n Yogurt Parfait"/>
    <s v="5.2 oz (149 g)"/>
    <n v="150"/>
    <n v="20"/>
    <n v="2"/>
    <n v="3"/>
    <n v="1"/>
    <n v="5"/>
    <n v="0"/>
    <n v="5"/>
    <n v="2"/>
    <n v="70"/>
    <n v="3"/>
    <n v="30"/>
    <n v="10"/>
    <n v="1"/>
    <n v="3"/>
    <n v="23"/>
    <n v="4"/>
    <n v="2"/>
    <n v="15"/>
    <n v="10"/>
    <n v="4"/>
  </r>
  <r>
    <x v="5"/>
    <s v="Baked Apple Pie"/>
    <s v="2.7 oz (77 g)"/>
    <n v="250"/>
    <n v="110"/>
    <n v="13"/>
    <n v="19"/>
    <n v="7"/>
    <n v="35"/>
    <n v="0"/>
    <n v="0"/>
    <n v="0"/>
    <n v="170"/>
    <n v="7"/>
    <n v="32"/>
    <n v="11"/>
    <n v="4"/>
    <n v="15"/>
    <n v="13"/>
    <n v="2"/>
    <n v="4"/>
    <n v="25"/>
    <n v="2"/>
    <n v="6"/>
  </r>
  <r>
    <x v="5"/>
    <s v="Chocolate Chip Cookie"/>
    <s v="1 cookie (33 g)"/>
    <n v="160"/>
    <n v="70"/>
    <n v="8"/>
    <n v="12"/>
    <n v="3.5"/>
    <n v="19"/>
    <n v="0"/>
    <n v="10"/>
    <n v="3"/>
    <n v="90"/>
    <n v="4"/>
    <n v="21"/>
    <n v="7"/>
    <n v="1"/>
    <n v="3"/>
    <n v="15"/>
    <n v="2"/>
    <n v="2"/>
    <n v="0"/>
    <n v="2"/>
    <n v="8"/>
  </r>
  <r>
    <x v="5"/>
    <s v="Oatmeal Raisin Cookie"/>
    <s v="1 cookie (33 g)"/>
    <n v="150"/>
    <n v="50"/>
    <n v="6"/>
    <n v="9"/>
    <n v="2.5"/>
    <n v="13"/>
    <n v="0"/>
    <n v="10"/>
    <n v="3"/>
    <n v="135"/>
    <n v="6"/>
    <n v="22"/>
    <n v="7"/>
    <n v="1"/>
    <n v="3"/>
    <n v="13"/>
    <n v="2"/>
    <n v="2"/>
    <n v="0"/>
    <n v="2"/>
    <n v="6"/>
  </r>
  <r>
    <x v="5"/>
    <s v="Kids Ice Cream Cone"/>
    <s v="1 oz (29 g)"/>
    <n v="45"/>
    <n v="10"/>
    <n v="1.5"/>
    <n v="2"/>
    <n v="1"/>
    <n v="4"/>
    <n v="0"/>
    <n v="5"/>
    <n v="2"/>
    <n v="20"/>
    <n v="1"/>
    <n v="7"/>
    <n v="2"/>
    <n v="0"/>
    <n v="0"/>
    <n v="6"/>
    <n v="1"/>
    <n v="2"/>
    <n v="0"/>
    <n v="4"/>
    <n v="0"/>
  </r>
  <r>
    <x v="5"/>
    <s v="Hot Fudge Sundae"/>
    <s v="6.3 oz (179 g)"/>
    <n v="330"/>
    <n v="80"/>
    <n v="9"/>
    <n v="14"/>
    <n v="7"/>
    <n v="34"/>
    <n v="0"/>
    <n v="25"/>
    <n v="8"/>
    <n v="170"/>
    <n v="7"/>
    <n v="53"/>
    <n v="18"/>
    <n v="1"/>
    <n v="3"/>
    <n v="48"/>
    <n v="8"/>
    <n v="8"/>
    <n v="0"/>
    <n v="25"/>
    <n v="8"/>
  </r>
  <r>
    <x v="5"/>
    <s v="Hot Caramel Sundae"/>
    <s v="6.4 oz (182 g)"/>
    <n v="340"/>
    <n v="70"/>
    <n v="8"/>
    <n v="12"/>
    <n v="5"/>
    <n v="24"/>
    <n v="0"/>
    <n v="30"/>
    <n v="10"/>
    <n v="150"/>
    <n v="6"/>
    <n v="60"/>
    <n v="20"/>
    <n v="0"/>
    <n v="0"/>
    <n v="43"/>
    <n v="7"/>
    <n v="10"/>
    <n v="0"/>
    <n v="25"/>
    <n v="0"/>
  </r>
  <r>
    <x v="5"/>
    <s v="Strawberry Sundae"/>
    <s v="6.3 oz (178 g)"/>
    <n v="280"/>
    <n v="60"/>
    <n v="6"/>
    <n v="10"/>
    <n v="4"/>
    <n v="20"/>
    <n v="0"/>
    <n v="25"/>
    <n v="8"/>
    <n v="85"/>
    <n v="4"/>
    <n v="49"/>
    <n v="16"/>
    <n v="0"/>
    <n v="0"/>
    <n v="45"/>
    <n v="6"/>
    <n v="8"/>
    <n v="4"/>
    <n v="20"/>
    <n v="0"/>
  </r>
  <r>
    <x v="6"/>
    <s v="Coca-Cola Classic (Small)"/>
    <s v="16 fl oz cup"/>
    <n v="140"/>
    <n v="0"/>
    <n v="0"/>
    <n v="0"/>
    <n v="0"/>
    <n v="0"/>
    <n v="0"/>
    <n v="0"/>
    <n v="0"/>
    <n v="0"/>
    <n v="0"/>
    <n v="39"/>
    <n v="13"/>
    <n v="0"/>
    <n v="0"/>
    <n v="39"/>
    <n v="0"/>
    <n v="0"/>
    <n v="0"/>
    <n v="0"/>
    <n v="0"/>
  </r>
  <r>
    <x v="6"/>
    <s v="Coca-Cola Classic (Medium)"/>
    <s v="21 fl oz cup"/>
    <n v="200"/>
    <n v="0"/>
    <n v="0"/>
    <n v="0"/>
    <n v="0"/>
    <n v="0"/>
    <n v="0"/>
    <n v="0"/>
    <n v="0"/>
    <n v="5"/>
    <n v="0"/>
    <n v="55"/>
    <n v="18"/>
    <n v="0"/>
    <n v="0"/>
    <n v="55"/>
    <n v="0"/>
    <n v="0"/>
    <n v="0"/>
    <n v="0"/>
    <n v="0"/>
  </r>
  <r>
    <x v="6"/>
    <s v="Coca-Cola Classic (Large)"/>
    <s v="30 fl oz cup"/>
    <n v="280"/>
    <n v="0"/>
    <n v="0"/>
    <n v="0"/>
    <n v="0"/>
    <n v="0"/>
    <n v="0"/>
    <n v="0"/>
    <n v="0"/>
    <n v="5"/>
    <n v="0"/>
    <n v="76"/>
    <n v="25"/>
    <n v="0"/>
    <n v="0"/>
    <n v="76"/>
    <n v="0"/>
    <n v="0"/>
    <n v="0"/>
    <n v="0"/>
    <n v="0"/>
  </r>
  <r>
    <x v="6"/>
    <s v="Coca-Cola Classic (Child)"/>
    <s v="12 fl oz cup"/>
    <n v="100"/>
    <n v="0"/>
    <n v="0"/>
    <n v="0"/>
    <n v="0"/>
    <n v="0"/>
    <n v="0"/>
    <n v="0"/>
    <n v="0"/>
    <n v="0"/>
    <n v="0"/>
    <n v="28"/>
    <n v="9"/>
    <n v="0"/>
    <n v="0"/>
    <n v="28"/>
    <n v="0"/>
    <n v="0"/>
    <n v="0"/>
    <n v="0"/>
    <n v="0"/>
  </r>
  <r>
    <x v="6"/>
    <s v="Diet Coke (Small)"/>
    <s v="16 fl oz cup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6"/>
    <s v="Diet Coke (Medium)"/>
    <s v="21 fl oz cup"/>
    <n v="0"/>
    <n v="0"/>
    <n v="0"/>
    <n v="0"/>
    <n v="0"/>
    <n v="0"/>
    <n v="0"/>
    <n v="0"/>
    <n v="0"/>
    <n v="20"/>
    <n v="1"/>
    <n v="0"/>
    <n v="0"/>
    <n v="0"/>
    <n v="0"/>
    <n v="0"/>
    <n v="0"/>
    <n v="0"/>
    <n v="0"/>
    <n v="0"/>
    <n v="0"/>
  </r>
  <r>
    <x v="6"/>
    <s v="Diet Coke (Large)"/>
    <s v="30 fl oz cup"/>
    <n v="0"/>
    <n v="0"/>
    <n v="0"/>
    <n v="0"/>
    <n v="0"/>
    <n v="0"/>
    <n v="0"/>
    <n v="0"/>
    <n v="0"/>
    <n v="35"/>
    <n v="1"/>
    <n v="0"/>
    <n v="0"/>
    <n v="0"/>
    <n v="0"/>
    <n v="0"/>
    <n v="0"/>
    <n v="0"/>
    <n v="0"/>
    <n v="0"/>
    <n v="0"/>
  </r>
  <r>
    <x v="6"/>
    <s v="Diet Coke (Child)"/>
    <s v="12 fl oz cup"/>
    <n v="0"/>
    <n v="0"/>
    <n v="0"/>
    <n v="0"/>
    <n v="0"/>
    <n v="0"/>
    <n v="0"/>
    <n v="0"/>
    <n v="0"/>
    <n v="15"/>
    <n v="1"/>
    <n v="0"/>
    <n v="0"/>
    <n v="0"/>
    <n v="0"/>
    <n v="0"/>
    <n v="0"/>
    <n v="0"/>
    <n v="0"/>
    <n v="0"/>
    <n v="0"/>
  </r>
  <r>
    <x v="6"/>
    <s v="Dr Pepper (Small)"/>
    <s v="16 fl oz cup"/>
    <n v="140"/>
    <n v="0"/>
    <n v="0"/>
    <n v="0"/>
    <n v="0"/>
    <n v="0"/>
    <n v="0"/>
    <n v="0"/>
    <n v="0"/>
    <n v="45"/>
    <n v="2"/>
    <n v="37"/>
    <n v="12"/>
    <n v="0"/>
    <n v="0"/>
    <n v="35"/>
    <n v="0"/>
    <n v="0"/>
    <n v="0"/>
    <n v="0"/>
    <n v="0"/>
  </r>
  <r>
    <x v="6"/>
    <s v="Dr Pepper (Medium)"/>
    <s v="21 fl oz cup"/>
    <n v="190"/>
    <n v="0"/>
    <n v="0"/>
    <n v="0"/>
    <n v="0"/>
    <n v="0"/>
    <n v="0"/>
    <n v="0"/>
    <n v="0"/>
    <n v="65"/>
    <n v="3"/>
    <n v="53"/>
    <n v="18"/>
    <n v="0"/>
    <n v="0"/>
    <n v="51"/>
    <n v="0"/>
    <n v="0"/>
    <n v="0"/>
    <n v="0"/>
    <n v="0"/>
  </r>
  <r>
    <x v="6"/>
    <s v="Dr Pepper (Large)"/>
    <s v="30 fl oz cup"/>
    <n v="270"/>
    <n v="0"/>
    <n v="0"/>
    <n v="0"/>
    <n v="0"/>
    <n v="0"/>
    <n v="0"/>
    <n v="0"/>
    <n v="0"/>
    <n v="90"/>
    <n v="4"/>
    <n v="72"/>
    <n v="24"/>
    <n v="0"/>
    <n v="0"/>
    <n v="70"/>
    <n v="0"/>
    <n v="0"/>
    <n v="0"/>
    <n v="0"/>
    <n v="0"/>
  </r>
  <r>
    <x v="6"/>
    <s v="Dr Pepper (Child)"/>
    <s v="12 fl oz cup"/>
    <n v="100"/>
    <n v="0"/>
    <n v="0"/>
    <n v="0"/>
    <n v="0"/>
    <n v="0"/>
    <n v="0"/>
    <n v="0"/>
    <n v="0"/>
    <n v="30"/>
    <n v="1"/>
    <n v="27"/>
    <n v="9"/>
    <n v="0"/>
    <n v="0"/>
    <n v="26"/>
    <n v="0"/>
    <n v="0"/>
    <n v="0"/>
    <n v="0"/>
    <n v="0"/>
  </r>
  <r>
    <x v="6"/>
    <s v="Diet Dr Pepper (Small)"/>
    <s v="16 fl oz cup"/>
    <n v="0"/>
    <n v="0"/>
    <n v="0"/>
    <n v="0"/>
    <n v="0"/>
    <n v="0"/>
    <n v="0"/>
    <n v="0"/>
    <n v="0"/>
    <n v="70"/>
    <n v="3"/>
    <n v="0"/>
    <n v="0"/>
    <n v="0"/>
    <n v="0"/>
    <n v="0"/>
    <n v="2"/>
    <n v="0"/>
    <n v="0"/>
    <n v="0"/>
    <n v="0"/>
  </r>
  <r>
    <x v="6"/>
    <s v="Diet Dr Pepper (Medium)"/>
    <s v="21 fl oz cup"/>
    <n v="0"/>
    <n v="0"/>
    <n v="0"/>
    <n v="0"/>
    <n v="0"/>
    <n v="0"/>
    <n v="0"/>
    <n v="0"/>
    <n v="0"/>
    <n v="100"/>
    <n v="4"/>
    <n v="0"/>
    <n v="0"/>
    <n v="0"/>
    <n v="0"/>
    <n v="0"/>
    <n v="3"/>
    <n v="0"/>
    <n v="0"/>
    <n v="0"/>
    <n v="0"/>
  </r>
  <r>
    <x v="6"/>
    <s v="Diet Dr Pepper (Large)"/>
    <s v="30 fl oz cup"/>
    <n v="0"/>
    <n v="0"/>
    <n v="0"/>
    <n v="0"/>
    <n v="0"/>
    <n v="0"/>
    <n v="0"/>
    <n v="0"/>
    <n v="0"/>
    <n v="140"/>
    <n v="6"/>
    <n v="0"/>
    <n v="0"/>
    <n v="0"/>
    <n v="0"/>
    <n v="0"/>
    <n v="4"/>
    <n v="0"/>
    <n v="0"/>
    <n v="0"/>
    <n v="0"/>
  </r>
  <r>
    <x v="6"/>
    <s v="Diet Dr Pepper (Child)"/>
    <s v="12 fl oz cup"/>
    <n v="0"/>
    <n v="0"/>
    <n v="0"/>
    <n v="0"/>
    <n v="0"/>
    <n v="0"/>
    <n v="0"/>
    <n v="0"/>
    <n v="0"/>
    <n v="50"/>
    <n v="2"/>
    <n v="0"/>
    <n v="0"/>
    <n v="0"/>
    <n v="0"/>
    <n v="0"/>
    <n v="1"/>
    <n v="0"/>
    <n v="0"/>
    <n v="0"/>
    <n v="0"/>
  </r>
  <r>
    <x v="6"/>
    <s v="Sprite (Small)"/>
    <s v="16 fl oz cup"/>
    <n v="140"/>
    <n v="0"/>
    <n v="0"/>
    <n v="0"/>
    <n v="0"/>
    <n v="0"/>
    <n v="0"/>
    <n v="0"/>
    <n v="0"/>
    <n v="30"/>
    <n v="1"/>
    <n v="37"/>
    <n v="12"/>
    <n v="0"/>
    <n v="0"/>
    <n v="37"/>
    <n v="0"/>
    <n v="0"/>
    <n v="0"/>
    <n v="0"/>
    <n v="0"/>
  </r>
  <r>
    <x v="6"/>
    <s v="Sprite (Medium)"/>
    <s v="21 fl oz cup"/>
    <n v="200"/>
    <n v="0"/>
    <n v="0"/>
    <n v="0"/>
    <n v="0"/>
    <n v="0"/>
    <n v="0"/>
    <n v="0"/>
    <n v="0"/>
    <n v="45"/>
    <n v="2"/>
    <n v="54"/>
    <n v="18"/>
    <n v="0"/>
    <n v="0"/>
    <n v="54"/>
    <n v="0"/>
    <n v="0"/>
    <n v="0"/>
    <n v="0"/>
    <n v="0"/>
  </r>
  <r>
    <x v="6"/>
    <s v="Sprite (Large)"/>
    <s v="30 fl oz cup"/>
    <n v="280"/>
    <n v="0"/>
    <n v="0"/>
    <n v="0"/>
    <n v="0"/>
    <n v="0"/>
    <n v="0"/>
    <n v="0"/>
    <n v="0"/>
    <n v="60"/>
    <n v="3"/>
    <n v="74"/>
    <n v="25"/>
    <n v="0"/>
    <n v="0"/>
    <n v="74"/>
    <n v="0"/>
    <n v="0"/>
    <n v="0"/>
    <n v="0"/>
    <n v="0"/>
  </r>
  <r>
    <x v="6"/>
    <s v="Sprite (Child)"/>
    <s v="12 fl oz cup"/>
    <n v="100"/>
    <n v="0"/>
    <n v="0"/>
    <n v="0"/>
    <n v="0"/>
    <n v="0"/>
    <n v="0"/>
    <n v="0"/>
    <n v="0"/>
    <n v="25"/>
    <n v="1"/>
    <n v="27"/>
    <n v="9"/>
    <n v="0"/>
    <n v="0"/>
    <n v="27"/>
    <n v="0"/>
    <n v="0"/>
    <n v="0"/>
    <n v="0"/>
    <n v="0"/>
  </r>
  <r>
    <x v="6"/>
    <s v="1% Low Fat Milk Jug"/>
    <s v="1 carton (236 ml)"/>
    <n v="100"/>
    <n v="20"/>
    <n v="2.5"/>
    <n v="4"/>
    <n v="1.5"/>
    <n v="8"/>
    <n v="0"/>
    <n v="10"/>
    <n v="3"/>
    <n v="125"/>
    <n v="5"/>
    <n v="12"/>
    <n v="4"/>
    <n v="0"/>
    <n v="0"/>
    <n v="12"/>
    <n v="8"/>
    <n v="10"/>
    <n v="4"/>
    <n v="30"/>
    <n v="0"/>
  </r>
  <r>
    <x v="6"/>
    <s v="Fat Free Chocolate Milk Jug"/>
    <s v="1 carton (236 ml)"/>
    <n v="130"/>
    <n v="0"/>
    <n v="0"/>
    <n v="0"/>
    <n v="0"/>
    <n v="0"/>
    <n v="0"/>
    <n v="5"/>
    <n v="2"/>
    <n v="135"/>
    <n v="6"/>
    <n v="23"/>
    <n v="8"/>
    <n v="1"/>
    <n v="2"/>
    <n v="22"/>
    <n v="9"/>
    <n v="10"/>
    <n v="0"/>
    <n v="30"/>
    <n v="8"/>
  </r>
  <r>
    <x v="6"/>
    <s v="Minute Maid 100% Apple Juice Box"/>
    <s v="6 fl oz (177 ml)"/>
    <n v="80"/>
    <n v="0"/>
    <n v="0"/>
    <n v="0"/>
    <n v="0"/>
    <n v="0"/>
    <n v="0"/>
    <n v="0"/>
    <n v="0"/>
    <n v="15"/>
    <n v="1"/>
    <n v="21"/>
    <n v="7"/>
    <n v="0"/>
    <n v="0"/>
    <n v="19"/>
    <n v="0"/>
    <n v="0"/>
    <n v="100"/>
    <n v="10"/>
    <n v="0"/>
  </r>
  <r>
    <x v="6"/>
    <s v="Minute Maid Orange Juice (Small)"/>
    <s v="12 fl oz cup"/>
    <n v="150"/>
    <n v="0"/>
    <n v="0"/>
    <n v="0"/>
    <n v="0"/>
    <n v="0"/>
    <n v="0"/>
    <n v="0"/>
    <n v="0"/>
    <n v="0"/>
    <n v="0"/>
    <n v="34"/>
    <n v="11"/>
    <n v="0"/>
    <n v="0"/>
    <n v="30"/>
    <n v="2"/>
    <n v="0"/>
    <n v="130"/>
    <n v="2"/>
    <n v="0"/>
  </r>
  <r>
    <x v="6"/>
    <s v="Minute Maid Orange Juice (Medium)"/>
    <s v="16 fl oz cup"/>
    <n v="190"/>
    <n v="0"/>
    <n v="0"/>
    <n v="0"/>
    <n v="0"/>
    <n v="0"/>
    <n v="0"/>
    <n v="0"/>
    <n v="0"/>
    <n v="0"/>
    <n v="0"/>
    <n v="44"/>
    <n v="15"/>
    <n v="0"/>
    <n v="0"/>
    <n v="39"/>
    <n v="3"/>
    <n v="0"/>
    <n v="160"/>
    <n v="4"/>
    <n v="0"/>
  </r>
  <r>
    <x v="6"/>
    <s v="Minute Maid Orange Juice (Large)"/>
    <s v="22 fl oz cup"/>
    <n v="280"/>
    <n v="0"/>
    <n v="0"/>
    <n v="0"/>
    <n v="0"/>
    <n v="0"/>
    <n v="0"/>
    <n v="0"/>
    <n v="0"/>
    <n v="5"/>
    <n v="0"/>
    <n v="65"/>
    <n v="22"/>
    <n v="0"/>
    <n v="0"/>
    <n v="58"/>
    <n v="4"/>
    <n v="0"/>
    <n v="240"/>
    <n v="4"/>
    <n v="0"/>
  </r>
  <r>
    <x v="6"/>
    <s v="Dasani Water Bottle"/>
    <s v="16.9 fl oz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Iced Tea (Small)"/>
    <s v="16 fl oz cup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7"/>
    <s v="Iced Tea (Medium)"/>
    <s v="21 fl oz cup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7"/>
    <s v="Iced Tea (Large)"/>
    <s v="30 fl oz cup"/>
    <n v="0"/>
    <n v="0"/>
    <n v="0"/>
    <n v="0"/>
    <n v="0"/>
    <n v="0"/>
    <n v="0"/>
    <n v="0"/>
    <n v="0"/>
    <n v="15"/>
    <n v="1"/>
    <n v="0"/>
    <n v="0"/>
    <n v="0"/>
    <n v="0"/>
    <n v="0"/>
    <n v="0"/>
    <n v="0"/>
    <n v="0"/>
    <n v="0"/>
    <n v="0"/>
  </r>
  <r>
    <x v="7"/>
    <s v="Iced Tea (Child)"/>
    <s v="12 fl oz cup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</r>
  <r>
    <x v="7"/>
    <s v="Sweet Tea (Small)"/>
    <s v="16 fl oz cup"/>
    <n v="150"/>
    <n v="0"/>
    <n v="0"/>
    <n v="0"/>
    <n v="0"/>
    <n v="0"/>
    <n v="0"/>
    <n v="0"/>
    <n v="0"/>
    <n v="10"/>
    <n v="0"/>
    <n v="36"/>
    <n v="12"/>
    <n v="0"/>
    <n v="0"/>
    <n v="36"/>
    <n v="1"/>
    <n v="0"/>
    <n v="0"/>
    <n v="0"/>
    <n v="0"/>
  </r>
  <r>
    <x v="7"/>
    <s v="Sweet Tea (Medium)"/>
    <s v="21 fl oz cup"/>
    <n v="180"/>
    <n v="0"/>
    <n v="0"/>
    <n v="0"/>
    <n v="0"/>
    <n v="0"/>
    <n v="0"/>
    <n v="0"/>
    <n v="0"/>
    <n v="10"/>
    <n v="0"/>
    <n v="45"/>
    <n v="15"/>
    <n v="0"/>
    <n v="0"/>
    <n v="45"/>
    <n v="1"/>
    <n v="0"/>
    <n v="0"/>
    <n v="0"/>
    <n v="0"/>
  </r>
  <r>
    <x v="7"/>
    <s v="Sweet Tea (Large)"/>
    <s v="30 fl oz cup"/>
    <n v="220"/>
    <n v="0"/>
    <n v="0"/>
    <n v="0"/>
    <n v="0"/>
    <n v="0"/>
    <n v="0"/>
    <n v="0"/>
    <n v="0"/>
    <n v="10"/>
    <n v="1"/>
    <n v="54"/>
    <n v="18"/>
    <n v="0"/>
    <n v="0"/>
    <n v="54"/>
    <n v="1"/>
    <n v="0"/>
    <n v="0"/>
    <n v="0"/>
    <n v="0"/>
  </r>
  <r>
    <x v="7"/>
    <s v="Sweet Tea (Child)"/>
    <s v="12 fl oz cup"/>
    <n v="110"/>
    <n v="0"/>
    <n v="0"/>
    <n v="0"/>
    <n v="0"/>
    <n v="0"/>
    <n v="0"/>
    <n v="0"/>
    <n v="0"/>
    <n v="5"/>
    <n v="0"/>
    <n v="27"/>
    <n v="9"/>
    <n v="0"/>
    <n v="0"/>
    <n v="27"/>
    <n v="0"/>
    <n v="0"/>
    <n v="0"/>
    <n v="0"/>
    <n v="0"/>
  </r>
  <r>
    <x v="7"/>
    <s v="Coffee (Small)"/>
    <s v="12 fl oz c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Coffee (Medium)"/>
    <s v="16 fl oz c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Coffee (Large)"/>
    <s v="16 fl oz c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Latte (Small)"/>
    <s v="12 fl oz cup"/>
    <n v="170"/>
    <n v="80"/>
    <n v="9"/>
    <n v="13"/>
    <n v="5"/>
    <n v="24"/>
    <n v="0"/>
    <n v="25"/>
    <n v="9"/>
    <n v="115"/>
    <n v="5"/>
    <n v="15"/>
    <n v="5"/>
    <n v="1"/>
    <n v="3"/>
    <n v="12"/>
    <n v="9"/>
    <n v="8"/>
    <n v="0"/>
    <n v="30"/>
    <n v="0"/>
  </r>
  <r>
    <x v="7"/>
    <s v="Latte (Medium)"/>
    <s v="16 fl oz cup"/>
    <n v="210"/>
    <n v="90"/>
    <n v="10"/>
    <n v="16"/>
    <n v="6"/>
    <n v="30"/>
    <n v="0"/>
    <n v="30"/>
    <n v="11"/>
    <n v="140"/>
    <n v="6"/>
    <n v="18"/>
    <n v="6"/>
    <n v="1"/>
    <n v="4"/>
    <n v="15"/>
    <n v="11"/>
    <n v="10"/>
    <n v="0"/>
    <n v="35"/>
    <n v="0"/>
  </r>
  <r>
    <x v="7"/>
    <s v="Latte (Large)"/>
    <s v="20 fl oz cup"/>
    <n v="280"/>
    <n v="120"/>
    <n v="14"/>
    <n v="21"/>
    <n v="8"/>
    <n v="39"/>
    <n v="0"/>
    <n v="40"/>
    <n v="14"/>
    <n v="180"/>
    <n v="8"/>
    <n v="24"/>
    <n v="8"/>
    <n v="1"/>
    <n v="6"/>
    <n v="20"/>
    <n v="15"/>
    <n v="15"/>
    <n v="0"/>
    <n v="50"/>
    <n v="2"/>
  </r>
  <r>
    <x v="7"/>
    <s v="Caramel Latte (Small)"/>
    <s v="12 fl oz cup"/>
    <n v="270"/>
    <n v="80"/>
    <n v="9"/>
    <n v="13"/>
    <n v="5"/>
    <n v="24"/>
    <n v="0"/>
    <n v="25"/>
    <n v="9"/>
    <n v="115"/>
    <n v="5"/>
    <n v="40"/>
    <n v="13"/>
    <n v="1"/>
    <n v="3"/>
    <n v="38"/>
    <n v="9"/>
    <n v="8"/>
    <n v="0"/>
    <n v="30"/>
    <n v="0"/>
  </r>
  <r>
    <x v="7"/>
    <s v="Caramel Latte (Medium)"/>
    <s v="16 fl oz cup"/>
    <n v="340"/>
    <n v="90"/>
    <n v="10"/>
    <n v="16"/>
    <n v="6"/>
    <n v="30"/>
    <n v="0"/>
    <n v="30"/>
    <n v="11"/>
    <n v="140"/>
    <n v="6"/>
    <n v="50"/>
    <n v="17"/>
    <n v="1"/>
    <n v="4"/>
    <n v="48"/>
    <n v="11"/>
    <n v="10"/>
    <n v="0"/>
    <n v="35"/>
    <n v="0"/>
  </r>
  <r>
    <x v="7"/>
    <s v="Caramel Latte (Large)"/>
    <s v="20 fl oz cup"/>
    <n v="430"/>
    <n v="120"/>
    <n v="14"/>
    <n v="21"/>
    <n v="8"/>
    <n v="39"/>
    <n v="0"/>
    <n v="40"/>
    <n v="14"/>
    <n v="180"/>
    <n v="8"/>
    <n v="62"/>
    <n v="21"/>
    <n v="1"/>
    <n v="6"/>
    <n v="59"/>
    <n v="15"/>
    <n v="15"/>
    <n v="0"/>
    <n v="50"/>
    <n v="2"/>
  </r>
  <r>
    <x v="7"/>
    <s v="Hazelnut Latte (Small)"/>
    <s v="12 fl oz cup"/>
    <n v="270"/>
    <n v="80"/>
    <n v="9"/>
    <n v="13"/>
    <n v="5"/>
    <n v="24"/>
    <n v="0"/>
    <n v="25"/>
    <n v="9"/>
    <n v="115"/>
    <n v="5"/>
    <n v="40"/>
    <n v="13"/>
    <n v="1"/>
    <n v="3"/>
    <n v="38"/>
    <n v="9"/>
    <n v="8"/>
    <n v="0"/>
    <n v="30"/>
    <n v="0"/>
  </r>
  <r>
    <x v="7"/>
    <s v="Hazelnut Latte (Medium)"/>
    <s v="16 fl oz cup"/>
    <n v="330"/>
    <n v="90"/>
    <n v="10"/>
    <n v="16"/>
    <n v="6"/>
    <n v="30"/>
    <n v="0"/>
    <n v="30"/>
    <n v="11"/>
    <n v="140"/>
    <n v="6"/>
    <n v="50"/>
    <n v="17"/>
    <n v="1"/>
    <n v="4"/>
    <n v="47"/>
    <n v="11"/>
    <n v="10"/>
    <n v="0"/>
    <n v="35"/>
    <n v="0"/>
  </r>
  <r>
    <x v="7"/>
    <s v="Hazelnut Latte (Large)"/>
    <s v="20 fl oz cup"/>
    <n v="430"/>
    <n v="120"/>
    <n v="14"/>
    <n v="21"/>
    <n v="8"/>
    <n v="39"/>
    <n v="0"/>
    <n v="40"/>
    <n v="14"/>
    <n v="180"/>
    <n v="8"/>
    <n v="62"/>
    <n v="21"/>
    <n v="1"/>
    <n v="6"/>
    <n v="58"/>
    <n v="15"/>
    <n v="15"/>
    <n v="0"/>
    <n v="50"/>
    <n v="2"/>
  </r>
  <r>
    <x v="7"/>
    <s v="French Vanilla Latte (Small)"/>
    <s v="12 fl oz cup"/>
    <n v="260"/>
    <n v="80"/>
    <n v="9"/>
    <n v="13"/>
    <n v="5"/>
    <n v="24"/>
    <n v="0"/>
    <n v="25"/>
    <n v="9"/>
    <n v="115"/>
    <n v="5"/>
    <n v="38"/>
    <n v="13"/>
    <n v="1"/>
    <n v="3"/>
    <n v="36"/>
    <n v="9"/>
    <n v="8"/>
    <n v="0"/>
    <n v="30"/>
    <n v="0"/>
  </r>
  <r>
    <x v="7"/>
    <s v="French Vanilla Latte (Medium)"/>
    <s v="16 fl oz cup"/>
    <n v="330"/>
    <n v="90"/>
    <n v="10"/>
    <n v="16"/>
    <n v="6"/>
    <n v="30"/>
    <n v="0"/>
    <n v="30"/>
    <n v="11"/>
    <n v="140"/>
    <n v="6"/>
    <n v="48"/>
    <n v="16"/>
    <n v="1"/>
    <n v="4"/>
    <n v="45"/>
    <n v="11"/>
    <n v="10"/>
    <n v="0"/>
    <n v="35"/>
    <n v="2"/>
  </r>
  <r>
    <x v="7"/>
    <s v="French Vanilla Latte (Large)"/>
    <s v="20 fl oz cup"/>
    <n v="420"/>
    <n v="120"/>
    <n v="14"/>
    <n v="21"/>
    <n v="8"/>
    <n v="39"/>
    <n v="0"/>
    <n v="40"/>
    <n v="14"/>
    <n v="190"/>
    <n v="8"/>
    <n v="60"/>
    <n v="20"/>
    <n v="1"/>
    <n v="6"/>
    <n v="56"/>
    <n v="15"/>
    <n v="15"/>
    <n v="0"/>
    <n v="50"/>
    <n v="2"/>
  </r>
  <r>
    <x v="7"/>
    <s v="Latte with Sugar Free French Vanilla Syrup (Small)"/>
    <s v="12 fl oz cup"/>
    <n v="210"/>
    <n v="80"/>
    <n v="9"/>
    <n v="13"/>
    <n v="5"/>
    <n v="24"/>
    <n v="0"/>
    <n v="25"/>
    <n v="9"/>
    <n v="150"/>
    <n v="6"/>
    <n v="24"/>
    <n v="8"/>
    <n v="1"/>
    <n v="4"/>
    <n v="12"/>
    <n v="9"/>
    <n v="8"/>
    <n v="0"/>
    <n v="30"/>
    <n v="0"/>
  </r>
  <r>
    <x v="7"/>
    <s v="Latte with Sugar Free French Vanilla Syrup (Medium)"/>
    <s v="16 fl oz cup"/>
    <n v="260"/>
    <n v="90"/>
    <n v="10"/>
    <n v="16"/>
    <n v="6"/>
    <n v="30"/>
    <n v="0"/>
    <n v="30"/>
    <n v="11"/>
    <n v="190"/>
    <n v="8"/>
    <n v="29"/>
    <n v="10"/>
    <n v="1"/>
    <n v="5"/>
    <n v="15"/>
    <n v="12"/>
    <n v="10"/>
    <n v="0"/>
    <n v="35"/>
    <n v="0"/>
  </r>
  <r>
    <x v="7"/>
    <s v="Latte with Sugar Free French Vanilla Syrup (Large)"/>
    <s v="20 fl oz cup"/>
    <n v="330"/>
    <n v="120"/>
    <n v="14"/>
    <n v="21"/>
    <n v="8"/>
    <n v="39"/>
    <n v="0"/>
    <n v="40"/>
    <n v="14"/>
    <n v="240"/>
    <n v="10"/>
    <n v="37"/>
    <n v="12"/>
    <n v="2"/>
    <n v="7"/>
    <n v="20"/>
    <n v="15"/>
    <n v="15"/>
    <n v="0"/>
    <n v="50"/>
    <n v="2"/>
  </r>
  <r>
    <x v="7"/>
    <s v="Nonfat Latte (Small)"/>
    <s v="12 fl oz cup"/>
    <n v="100"/>
    <n v="0"/>
    <n v="0"/>
    <n v="0"/>
    <n v="0"/>
    <n v="0"/>
    <n v="0"/>
    <n v="5"/>
    <n v="2"/>
    <n v="110"/>
    <n v="5"/>
    <n v="15"/>
    <n v="5"/>
    <n v="1"/>
    <n v="3"/>
    <n v="13"/>
    <n v="10"/>
    <n v="10"/>
    <n v="0"/>
    <n v="30"/>
    <n v="0"/>
  </r>
  <r>
    <x v="7"/>
    <s v="Nonfat Latte (Medium)"/>
    <s v="16 fl oz cup"/>
    <n v="130"/>
    <n v="0"/>
    <n v="0"/>
    <n v="0"/>
    <n v="0"/>
    <n v="0"/>
    <n v="0"/>
    <n v="5"/>
    <n v="2"/>
    <n v="135"/>
    <n v="6"/>
    <n v="19"/>
    <n v="6"/>
    <n v="1"/>
    <n v="4"/>
    <n v="16"/>
    <n v="12"/>
    <n v="15"/>
    <n v="0"/>
    <n v="40"/>
    <n v="0"/>
  </r>
  <r>
    <x v="7"/>
    <s v="Nonfat Latte (Large)"/>
    <s v="20 fl oz cup"/>
    <n v="170"/>
    <n v="0"/>
    <n v="0.5"/>
    <n v="1"/>
    <n v="0"/>
    <n v="0"/>
    <n v="0"/>
    <n v="10"/>
    <n v="3"/>
    <n v="180"/>
    <n v="7"/>
    <n v="25"/>
    <n v="8"/>
    <n v="1"/>
    <n v="6"/>
    <n v="21"/>
    <n v="16"/>
    <n v="15"/>
    <n v="0"/>
    <n v="50"/>
    <n v="2"/>
  </r>
  <r>
    <x v="7"/>
    <s v="Nonfat Caramel Latte (Small)"/>
    <s v="12 fl oz cup"/>
    <n v="200"/>
    <n v="0"/>
    <n v="0"/>
    <n v="0"/>
    <n v="0"/>
    <n v="0"/>
    <n v="0"/>
    <n v="5"/>
    <n v="2"/>
    <n v="110"/>
    <n v="5"/>
    <n v="41"/>
    <n v="14"/>
    <n v="1"/>
    <n v="3"/>
    <n v="39"/>
    <n v="10"/>
    <n v="10"/>
    <n v="0"/>
    <n v="30"/>
    <n v="0"/>
  </r>
  <r>
    <x v="7"/>
    <s v="Nonfat Caramel Latte (Medium)"/>
    <s v="16 fl oz cup"/>
    <n v="250"/>
    <n v="0"/>
    <n v="0"/>
    <n v="0"/>
    <n v="0"/>
    <n v="0"/>
    <n v="0"/>
    <n v="5"/>
    <n v="2"/>
    <n v="135"/>
    <n v="6"/>
    <n v="51"/>
    <n v="17"/>
    <n v="1"/>
    <n v="4"/>
    <n v="48"/>
    <n v="12"/>
    <n v="15"/>
    <n v="0"/>
    <n v="40"/>
    <n v="0"/>
  </r>
  <r>
    <x v="7"/>
    <s v="Nonfat Caramel Latte (Large)"/>
    <s v="20 fl oz cup"/>
    <n v="310"/>
    <n v="0"/>
    <n v="0.5"/>
    <n v="1"/>
    <n v="0"/>
    <n v="0"/>
    <n v="0"/>
    <n v="10"/>
    <n v="3"/>
    <n v="180"/>
    <n v="7"/>
    <n v="63"/>
    <n v="21"/>
    <n v="1"/>
    <n v="6"/>
    <n v="59"/>
    <n v="16"/>
    <n v="15"/>
    <n v="0"/>
    <n v="50"/>
    <n v="2"/>
  </r>
  <r>
    <x v="7"/>
    <s v="Nonfat Hazelnut Latte (Small)"/>
    <s v="12 fl oz cup"/>
    <n v="200"/>
    <n v="0"/>
    <n v="0"/>
    <n v="0"/>
    <n v="0"/>
    <n v="0"/>
    <n v="0"/>
    <n v="5"/>
    <n v="2"/>
    <n v="110"/>
    <n v="5"/>
    <n v="40"/>
    <n v="13"/>
    <n v="1"/>
    <n v="3"/>
    <n v="38"/>
    <n v="10"/>
    <n v="10"/>
    <n v="0"/>
    <n v="30"/>
    <n v="0"/>
  </r>
  <r>
    <x v="7"/>
    <s v="Nonfat Hazelnut Latte (Medium)"/>
    <s v="16 fl oz cup"/>
    <n v="250"/>
    <n v="0"/>
    <n v="0"/>
    <n v="0"/>
    <n v="0"/>
    <n v="0"/>
    <n v="0"/>
    <n v="5"/>
    <n v="2"/>
    <n v="135"/>
    <n v="6"/>
    <n v="51"/>
    <n v="17"/>
    <n v="1"/>
    <n v="4"/>
    <n v="48"/>
    <n v="12"/>
    <n v="15"/>
    <n v="0"/>
    <n v="40"/>
    <n v="0"/>
  </r>
  <r>
    <x v="7"/>
    <s v="Nonfat Hazelnut Latte (Large)"/>
    <s v="20 fl oz cup"/>
    <n v="310"/>
    <n v="0"/>
    <n v="0.5"/>
    <n v="1"/>
    <n v="0"/>
    <n v="0"/>
    <n v="0"/>
    <n v="10"/>
    <n v="3"/>
    <n v="180"/>
    <n v="7"/>
    <n v="63"/>
    <n v="21"/>
    <n v="1"/>
    <n v="6"/>
    <n v="59"/>
    <n v="16"/>
    <n v="15"/>
    <n v="0"/>
    <n v="50"/>
    <n v="2"/>
  </r>
  <r>
    <x v="7"/>
    <s v="Nonfat French Vanilla Latte (Small)"/>
    <s v="12 fl oz cup"/>
    <n v="190"/>
    <n v="0"/>
    <n v="0"/>
    <n v="0"/>
    <n v="0"/>
    <n v="0"/>
    <n v="0"/>
    <n v="5"/>
    <n v="2"/>
    <n v="115"/>
    <n v="5"/>
    <n v="39"/>
    <n v="13"/>
    <n v="1"/>
    <n v="3"/>
    <n v="37"/>
    <n v="10"/>
    <n v="10"/>
    <n v="0"/>
    <n v="30"/>
    <n v="0"/>
  </r>
  <r>
    <x v="7"/>
    <s v="Nonfat French Vanilla Latte (Medium)"/>
    <s v="16 fl oz cup"/>
    <n v="240"/>
    <n v="0"/>
    <n v="0"/>
    <n v="0"/>
    <n v="0"/>
    <n v="0"/>
    <n v="0"/>
    <n v="5"/>
    <n v="2"/>
    <n v="140"/>
    <n v="6"/>
    <n v="49"/>
    <n v="16"/>
    <n v="1"/>
    <n v="4"/>
    <n v="46"/>
    <n v="12"/>
    <n v="15"/>
    <n v="0"/>
    <n v="40"/>
    <n v="2"/>
  </r>
  <r>
    <x v="7"/>
    <s v="Nonfat French Vanilla Latte (Large)"/>
    <s v="20 fl oz cup"/>
    <n v="300"/>
    <n v="0"/>
    <n v="0.5"/>
    <n v="1"/>
    <n v="0"/>
    <n v="0"/>
    <n v="0"/>
    <n v="10"/>
    <n v="3"/>
    <n v="180"/>
    <n v="8"/>
    <n v="60"/>
    <n v="20"/>
    <n v="1"/>
    <n v="6"/>
    <n v="56"/>
    <n v="16"/>
    <n v="15"/>
    <n v="0"/>
    <n v="50"/>
    <n v="2"/>
  </r>
  <r>
    <x v="7"/>
    <s v="Nonfat Latte with Sugar Free French Vanilla Syrup (Small)"/>
    <s v="12 fl oz cup"/>
    <n v="140"/>
    <n v="0"/>
    <n v="0"/>
    <n v="0"/>
    <n v="0"/>
    <n v="0"/>
    <n v="0"/>
    <n v="5"/>
    <n v="2"/>
    <n v="150"/>
    <n v="6"/>
    <n v="24"/>
    <n v="8"/>
    <n v="1"/>
    <n v="4"/>
    <n v="13"/>
    <n v="10"/>
    <n v="10"/>
    <n v="0"/>
    <n v="30"/>
    <n v="0"/>
  </r>
  <r>
    <x v="7"/>
    <s v="Nonfat Latte with Sugar Free French Vanilla Syrup (Medium)"/>
    <s v="16 fl oz cup"/>
    <n v="170"/>
    <n v="0"/>
    <n v="0"/>
    <n v="0"/>
    <n v="0"/>
    <n v="0"/>
    <n v="0"/>
    <n v="5"/>
    <n v="2"/>
    <n v="180"/>
    <n v="8"/>
    <n v="30"/>
    <n v="10"/>
    <n v="1"/>
    <n v="5"/>
    <n v="16"/>
    <n v="12"/>
    <n v="15"/>
    <n v="0"/>
    <n v="40"/>
    <n v="0"/>
  </r>
  <r>
    <x v="7"/>
    <s v="Nonfat Latte with Sugar Free French Vanilla Syrup (Large)"/>
    <s v="20 fl oz cup"/>
    <n v="220"/>
    <n v="0"/>
    <n v="0.5"/>
    <n v="1"/>
    <n v="0"/>
    <n v="0"/>
    <n v="0"/>
    <n v="10"/>
    <n v="3"/>
    <n v="240"/>
    <n v="10"/>
    <n v="38"/>
    <n v="13"/>
    <n v="2"/>
    <n v="7"/>
    <n v="21"/>
    <n v="16"/>
    <n v="15"/>
    <n v="0"/>
    <n v="50"/>
    <n v="2"/>
  </r>
  <r>
    <x v="7"/>
    <s v="Mocha (Small)"/>
    <s v="12 fl oz cup"/>
    <n v="340"/>
    <n v="100"/>
    <n v="11"/>
    <n v="18"/>
    <n v="7"/>
    <n v="34"/>
    <n v="0"/>
    <n v="35"/>
    <n v="12"/>
    <n v="150"/>
    <n v="6"/>
    <n v="49"/>
    <n v="16"/>
    <n v="2"/>
    <n v="6"/>
    <n v="42"/>
    <n v="10"/>
    <n v="10"/>
    <n v="0"/>
    <n v="30"/>
    <n v="6"/>
  </r>
  <r>
    <x v="7"/>
    <s v="Mocha (Medium)"/>
    <s v="16 fl oz cup"/>
    <n v="410"/>
    <n v="120"/>
    <n v="14"/>
    <n v="21"/>
    <n v="8"/>
    <n v="40"/>
    <n v="0"/>
    <n v="40"/>
    <n v="14"/>
    <n v="190"/>
    <n v="8"/>
    <n v="60"/>
    <n v="20"/>
    <n v="2"/>
    <n v="8"/>
    <n v="53"/>
    <n v="13"/>
    <n v="10"/>
    <n v="0"/>
    <n v="40"/>
    <n v="6"/>
  </r>
  <r>
    <x v="7"/>
    <s v="Mocha (Large)"/>
    <s v="20 fl oz cup"/>
    <n v="500"/>
    <n v="150"/>
    <n v="17"/>
    <n v="26"/>
    <n v="10"/>
    <n v="49"/>
    <n v="0.5"/>
    <n v="50"/>
    <n v="17"/>
    <n v="240"/>
    <n v="10"/>
    <n v="72"/>
    <n v="24"/>
    <n v="2"/>
    <n v="10"/>
    <n v="63"/>
    <n v="16"/>
    <n v="15"/>
    <n v="0"/>
    <n v="50"/>
    <n v="8"/>
  </r>
  <r>
    <x v="7"/>
    <s v="Mocha with Nonfat Milk (Small)"/>
    <s v="12 fl oz cup"/>
    <n v="270"/>
    <n v="30"/>
    <n v="3.5"/>
    <n v="5"/>
    <n v="2"/>
    <n v="11"/>
    <n v="0"/>
    <n v="15"/>
    <n v="5"/>
    <n v="150"/>
    <n v="6"/>
    <n v="49"/>
    <n v="16"/>
    <n v="2"/>
    <n v="6"/>
    <n v="43"/>
    <n v="11"/>
    <n v="10"/>
    <n v="0"/>
    <n v="35"/>
    <n v="6"/>
  </r>
  <r>
    <x v="7"/>
    <s v="Mocha with Nonfat Milk (Medium)"/>
    <s v="16 fl oz cup"/>
    <n v="330"/>
    <n v="30"/>
    <n v="3.5"/>
    <n v="6"/>
    <n v="2"/>
    <n v="11"/>
    <n v="0"/>
    <n v="15"/>
    <n v="5"/>
    <n v="190"/>
    <n v="8"/>
    <n v="60"/>
    <n v="20"/>
    <n v="2"/>
    <n v="8"/>
    <n v="53"/>
    <n v="13"/>
    <n v="15"/>
    <n v="0"/>
    <n v="40"/>
    <n v="6"/>
  </r>
  <r>
    <x v="7"/>
    <s v="Mocha with Nonfat Milk (Large)"/>
    <s v="20 fl oz cup"/>
    <n v="390"/>
    <n v="35"/>
    <n v="4"/>
    <n v="6"/>
    <n v="2.5"/>
    <n v="12"/>
    <n v="0"/>
    <n v="20"/>
    <n v="6"/>
    <n v="240"/>
    <n v="10"/>
    <n v="73"/>
    <n v="24"/>
    <n v="2"/>
    <n v="10"/>
    <n v="64"/>
    <n v="17"/>
    <n v="20"/>
    <n v="0"/>
    <n v="50"/>
    <n v="8"/>
  </r>
  <r>
    <x v="7"/>
    <s v="Caramel Mocha (Small)"/>
    <s v="12 fl oz cup"/>
    <n v="320"/>
    <n v="100"/>
    <n v="11"/>
    <n v="17"/>
    <n v="7"/>
    <n v="33"/>
    <n v="0"/>
    <n v="35"/>
    <n v="12"/>
    <n v="170"/>
    <n v="7"/>
    <n v="45"/>
    <n v="15"/>
    <n v="1"/>
    <n v="3"/>
    <n v="40"/>
    <n v="10"/>
    <n v="10"/>
    <n v="0"/>
    <n v="30"/>
    <n v="2"/>
  </r>
  <r>
    <x v="7"/>
    <s v="Caramel Mocha (Medium)"/>
    <s v="16 fl oz cup"/>
    <n v="390"/>
    <n v="120"/>
    <n v="14"/>
    <n v="21"/>
    <n v="8"/>
    <n v="40"/>
    <n v="0.5"/>
    <n v="40"/>
    <n v="14"/>
    <n v="220"/>
    <n v="9"/>
    <n v="55"/>
    <n v="18"/>
    <n v="1"/>
    <n v="4"/>
    <n v="50"/>
    <n v="12"/>
    <n v="15"/>
    <n v="0"/>
    <n v="40"/>
    <n v="2"/>
  </r>
  <r>
    <x v="7"/>
    <s v="Caramel Mocha (Large)"/>
    <s v="20 fl oz cup"/>
    <n v="480"/>
    <n v="150"/>
    <n v="17"/>
    <n v="26"/>
    <n v="10"/>
    <n v="49"/>
    <n v="0.5"/>
    <n v="50"/>
    <n v="17"/>
    <n v="270"/>
    <n v="11"/>
    <n v="66"/>
    <n v="22"/>
    <n v="1"/>
    <n v="5"/>
    <n v="60"/>
    <n v="16"/>
    <n v="15"/>
    <n v="0"/>
    <n v="50"/>
    <n v="4"/>
  </r>
  <r>
    <x v="7"/>
    <s v="Nonfat Caramel Mocha (Small)"/>
    <s v="12 fl oz cup"/>
    <n v="250"/>
    <n v="30"/>
    <n v="3.5"/>
    <n v="5"/>
    <n v="2"/>
    <n v="10"/>
    <n v="0"/>
    <n v="15"/>
    <n v="5"/>
    <n v="170"/>
    <n v="7"/>
    <n v="45"/>
    <n v="15"/>
    <n v="1"/>
    <n v="3"/>
    <n v="41"/>
    <n v="10"/>
    <n v="10"/>
    <n v="0"/>
    <n v="35"/>
    <n v="2"/>
  </r>
  <r>
    <x v="7"/>
    <s v="Nonfat Caramel Mocha (Medium)"/>
    <s v="16 fl oz cup"/>
    <n v="310"/>
    <n v="30"/>
    <n v="3.5"/>
    <n v="5"/>
    <n v="2"/>
    <n v="11"/>
    <n v="0"/>
    <n v="15"/>
    <n v="5"/>
    <n v="210"/>
    <n v="9"/>
    <n v="56"/>
    <n v="19"/>
    <n v="1"/>
    <n v="4"/>
    <n v="51"/>
    <n v="13"/>
    <n v="15"/>
    <n v="0"/>
    <n v="40"/>
    <n v="2"/>
  </r>
  <r>
    <x v="7"/>
    <s v="Nonfat Caramel Mocha (Large)"/>
    <s v="20 fl oz cup"/>
    <n v="370"/>
    <n v="35"/>
    <n v="3.5"/>
    <n v="6"/>
    <n v="2.5"/>
    <n v="11"/>
    <n v="0"/>
    <n v="20"/>
    <n v="6"/>
    <n v="270"/>
    <n v="11"/>
    <n v="67"/>
    <n v="22"/>
    <n v="1"/>
    <n v="5"/>
    <n v="61"/>
    <n v="17"/>
    <n v="20"/>
    <n v="0"/>
    <n v="50"/>
    <n v="4"/>
  </r>
  <r>
    <x v="7"/>
    <s v="Hot Chocolate (Small)"/>
    <s v="12 fl oz cup"/>
    <n v="360"/>
    <n v="120"/>
    <n v="13"/>
    <n v="21"/>
    <n v="8"/>
    <n v="39"/>
    <n v="0"/>
    <n v="40"/>
    <n v="14"/>
    <n v="180"/>
    <n v="8"/>
    <n v="50"/>
    <n v="17"/>
    <n v="1"/>
    <n v="3"/>
    <n v="45"/>
    <n v="11"/>
    <n v="10"/>
    <n v="0"/>
    <n v="40"/>
    <n v="6"/>
  </r>
  <r>
    <x v="7"/>
    <s v="Hot Chocolate (Medium)"/>
    <s v="16 fl oz cup"/>
    <n v="440"/>
    <n v="140"/>
    <n v="16"/>
    <n v="25"/>
    <n v="9"/>
    <n v="47"/>
    <n v="0.5"/>
    <n v="50"/>
    <n v="16"/>
    <n v="220"/>
    <n v="9"/>
    <n v="61"/>
    <n v="20"/>
    <n v="1"/>
    <n v="4"/>
    <n v="56"/>
    <n v="14"/>
    <n v="15"/>
    <n v="0"/>
    <n v="45"/>
    <n v="6"/>
  </r>
  <r>
    <x v="7"/>
    <s v="Hot Chocolate (Large)"/>
    <s v="20 fl oz cup"/>
    <n v="540"/>
    <n v="180"/>
    <n v="20"/>
    <n v="31"/>
    <n v="12"/>
    <n v="58"/>
    <n v="0.5"/>
    <n v="60"/>
    <n v="20"/>
    <n v="280"/>
    <n v="12"/>
    <n v="73"/>
    <n v="24"/>
    <n v="1"/>
    <n v="5"/>
    <n v="68"/>
    <n v="17"/>
    <n v="20"/>
    <n v="0"/>
    <n v="60"/>
    <n v="8"/>
  </r>
  <r>
    <x v="7"/>
    <s v="Hot Chocolate with Nonfat Milk (Small)"/>
    <s v="12 fl oz cup"/>
    <n v="280"/>
    <n v="30"/>
    <n v="3.5"/>
    <n v="5"/>
    <n v="2"/>
    <n v="11"/>
    <n v="0"/>
    <n v="15"/>
    <n v="5"/>
    <n v="180"/>
    <n v="7"/>
    <n v="50"/>
    <n v="17"/>
    <n v="1"/>
    <n v="3"/>
    <n v="46"/>
    <n v="12"/>
    <n v="15"/>
    <n v="0"/>
    <n v="40"/>
    <n v="6"/>
  </r>
  <r>
    <x v="7"/>
    <s v="Hot Chocolate with Nonfat Milk (Medium)"/>
    <s v="16 fl oz cup"/>
    <n v="340"/>
    <n v="30"/>
    <n v="3.5"/>
    <n v="5"/>
    <n v="2"/>
    <n v="11"/>
    <n v="0"/>
    <n v="15"/>
    <n v="6"/>
    <n v="220"/>
    <n v="9"/>
    <n v="61"/>
    <n v="20"/>
    <n v="1"/>
    <n v="4"/>
    <n v="57"/>
    <n v="14"/>
    <n v="20"/>
    <n v="0"/>
    <n v="50"/>
    <n v="6"/>
  </r>
  <r>
    <x v="7"/>
    <s v="Hot Chocolate with Nonfat Milk (Large)"/>
    <s v="20 fl oz cup"/>
    <n v="400"/>
    <n v="35"/>
    <n v="3.5"/>
    <n v="6"/>
    <n v="2.5"/>
    <n v="12"/>
    <n v="0"/>
    <n v="20"/>
    <n v="7"/>
    <n v="280"/>
    <n v="12"/>
    <n v="74"/>
    <n v="25"/>
    <n v="1"/>
    <n v="5"/>
    <n v="69"/>
    <n v="19"/>
    <n v="25"/>
    <n v="0"/>
    <n v="60"/>
    <n v="8"/>
  </r>
  <r>
    <x v="7"/>
    <s v="Regular Iced Coffee (Small)"/>
    <s v="16 fl oz cup"/>
    <n v="140"/>
    <n v="40"/>
    <n v="4.5"/>
    <n v="7"/>
    <n v="3"/>
    <n v="15"/>
    <n v="0"/>
    <n v="15"/>
    <n v="6"/>
    <n v="35"/>
    <n v="1"/>
    <n v="23"/>
    <n v="8"/>
    <n v="0"/>
    <n v="0"/>
    <n v="22"/>
    <n v="1"/>
    <n v="4"/>
    <n v="0"/>
    <n v="4"/>
    <n v="0"/>
  </r>
  <r>
    <x v="7"/>
    <s v="Regular Iced Coffee (Medium)"/>
    <s v="22 fl oz cup"/>
    <n v="190"/>
    <n v="60"/>
    <n v="7"/>
    <n v="11"/>
    <n v="4.5"/>
    <n v="22"/>
    <n v="0"/>
    <n v="25"/>
    <n v="9"/>
    <n v="50"/>
    <n v="2"/>
    <n v="31"/>
    <n v="10"/>
    <n v="0"/>
    <n v="0"/>
    <n v="30"/>
    <n v="1"/>
    <n v="4"/>
    <n v="0"/>
    <n v="4"/>
    <n v="0"/>
  </r>
  <r>
    <x v="7"/>
    <s v="Regular Iced Coffee (Large)"/>
    <s v="32 fl oz cup"/>
    <n v="270"/>
    <n v="80"/>
    <n v="9"/>
    <n v="14"/>
    <n v="6"/>
    <n v="29"/>
    <n v="0"/>
    <n v="35"/>
    <n v="12"/>
    <n v="75"/>
    <n v="3"/>
    <n v="47"/>
    <n v="16"/>
    <n v="0"/>
    <n v="0"/>
    <n v="45"/>
    <n v="2"/>
    <n v="6"/>
    <n v="0"/>
    <n v="8"/>
    <n v="0"/>
  </r>
  <r>
    <x v="7"/>
    <s v="Caramel Iced Coffee (Small)"/>
    <s v="16 fl oz cup"/>
    <n v="130"/>
    <n v="40"/>
    <n v="4.5"/>
    <n v="7"/>
    <n v="3"/>
    <n v="15"/>
    <n v="0"/>
    <n v="15"/>
    <n v="6"/>
    <n v="35"/>
    <n v="2"/>
    <n v="22"/>
    <n v="7"/>
    <n v="0"/>
    <n v="0"/>
    <n v="21"/>
    <n v="1"/>
    <n v="4"/>
    <n v="0"/>
    <n v="4"/>
    <n v="0"/>
  </r>
  <r>
    <x v="7"/>
    <s v="Caramel Iced Coffee (Medium)"/>
    <s v="22 fl oz cup"/>
    <n v="180"/>
    <n v="60"/>
    <n v="7"/>
    <n v="11"/>
    <n v="4.5"/>
    <n v="22"/>
    <n v="0"/>
    <n v="25"/>
    <n v="9"/>
    <n v="50"/>
    <n v="2"/>
    <n v="29"/>
    <n v="10"/>
    <n v="0"/>
    <n v="0"/>
    <n v="28"/>
    <n v="1"/>
    <n v="4"/>
    <n v="0"/>
    <n v="4"/>
    <n v="0"/>
  </r>
  <r>
    <x v="7"/>
    <s v="Caramel Iced Coffee (Large)"/>
    <s v="32 fl oz cup"/>
    <n v="260"/>
    <n v="80"/>
    <n v="9"/>
    <n v="14"/>
    <n v="6"/>
    <n v="29"/>
    <n v="0"/>
    <n v="35"/>
    <n v="12"/>
    <n v="65"/>
    <n v="3"/>
    <n v="43"/>
    <n v="14"/>
    <n v="0"/>
    <n v="0"/>
    <n v="42"/>
    <n v="2"/>
    <n v="6"/>
    <n v="0"/>
    <n v="6"/>
    <n v="0"/>
  </r>
  <r>
    <x v="7"/>
    <s v="Hazelnut Iced Coffee (Small)"/>
    <s v="16 fl oz cup"/>
    <n v="130"/>
    <n v="40"/>
    <n v="4.5"/>
    <n v="7"/>
    <n v="3"/>
    <n v="15"/>
    <n v="0"/>
    <n v="15"/>
    <n v="6"/>
    <n v="35"/>
    <n v="1"/>
    <n v="21"/>
    <n v="7"/>
    <n v="0"/>
    <n v="0"/>
    <n v="20"/>
    <n v="1"/>
    <n v="4"/>
    <n v="0"/>
    <n v="4"/>
    <n v="0"/>
  </r>
  <r>
    <x v="7"/>
    <s v="Hazelnut Iced Coffee (Medium)"/>
    <s v="22 fl oz cup"/>
    <n v="180"/>
    <n v="60"/>
    <n v="7"/>
    <n v="11"/>
    <n v="4.5"/>
    <n v="22"/>
    <n v="0"/>
    <n v="25"/>
    <n v="9"/>
    <n v="50"/>
    <n v="2"/>
    <n v="29"/>
    <n v="10"/>
    <n v="0"/>
    <n v="0"/>
    <n v="28"/>
    <n v="1"/>
    <n v="4"/>
    <n v="0"/>
    <n v="4"/>
    <n v="0"/>
  </r>
  <r>
    <x v="7"/>
    <s v="Hazelnut Iced Coffee (Large)"/>
    <s v="32 fl oz cup"/>
    <n v="250"/>
    <n v="80"/>
    <n v="9"/>
    <n v="14"/>
    <n v="6"/>
    <n v="29"/>
    <n v="0"/>
    <n v="35"/>
    <n v="12"/>
    <n v="75"/>
    <n v="3"/>
    <n v="43"/>
    <n v="14"/>
    <n v="0"/>
    <n v="0"/>
    <n v="41"/>
    <n v="2"/>
    <n v="6"/>
    <n v="0"/>
    <n v="8"/>
    <n v="0"/>
  </r>
  <r>
    <x v="7"/>
    <s v="French Vanilla Iced Coffee (Small)"/>
    <s v="16 fl oz cup"/>
    <n v="120"/>
    <n v="40"/>
    <n v="4.5"/>
    <n v="7"/>
    <n v="3"/>
    <n v="15"/>
    <n v="0"/>
    <n v="15"/>
    <n v="6"/>
    <n v="40"/>
    <n v="2"/>
    <n v="20"/>
    <n v="7"/>
    <n v="0"/>
    <n v="0"/>
    <n v="19"/>
    <n v="1"/>
    <n v="4"/>
    <n v="0"/>
    <n v="4"/>
    <n v="0"/>
  </r>
  <r>
    <x v="7"/>
    <s v="French Vanilla Iced Coffee (Medium)"/>
    <s v="22 fl oz cup"/>
    <n v="170"/>
    <n v="60"/>
    <n v="7"/>
    <n v="11"/>
    <n v="4.5"/>
    <n v="22"/>
    <n v="0"/>
    <n v="25"/>
    <n v="9"/>
    <n v="55"/>
    <n v="2"/>
    <n v="27"/>
    <n v="9"/>
    <n v="0"/>
    <n v="0"/>
    <n v="26"/>
    <n v="1"/>
    <n v="4"/>
    <n v="0"/>
    <n v="4"/>
    <n v="0"/>
  </r>
  <r>
    <x v="7"/>
    <s v="French Vanilla Iced Coffee (Large)"/>
    <s v="32 fl oz cup"/>
    <n v="240"/>
    <n v="80"/>
    <n v="9"/>
    <n v="14"/>
    <n v="6"/>
    <n v="29"/>
    <n v="0"/>
    <n v="35"/>
    <n v="12"/>
    <n v="80"/>
    <n v="3"/>
    <n v="41"/>
    <n v="14"/>
    <n v="0"/>
    <n v="0"/>
    <n v="39"/>
    <n v="2"/>
    <n v="6"/>
    <n v="0"/>
    <n v="8"/>
    <n v="0"/>
  </r>
  <r>
    <x v="7"/>
    <s v="Iced Coffee with Sugar Free French Vanilla Syrup (Small)"/>
    <s v="16 fl oz cup"/>
    <n v="80"/>
    <n v="40"/>
    <n v="4.5"/>
    <n v="7"/>
    <n v="3"/>
    <n v="15"/>
    <n v="0"/>
    <n v="15"/>
    <n v="6"/>
    <n v="65"/>
    <n v="3"/>
    <n v="9"/>
    <n v="3"/>
    <n v="0"/>
    <n v="0"/>
    <n v="1"/>
    <n v="1"/>
    <n v="4"/>
    <n v="0"/>
    <n v="4"/>
    <n v="0"/>
  </r>
  <r>
    <x v="7"/>
    <s v="Iced Coffee with Sugar Free French Vanilla Syrup (Medium)"/>
    <s v="22 fl oz cup"/>
    <n v="120"/>
    <n v="60"/>
    <n v="7"/>
    <n v="11"/>
    <n v="4.5"/>
    <n v="22"/>
    <n v="0"/>
    <n v="25"/>
    <n v="9"/>
    <n v="90"/>
    <n v="4"/>
    <n v="12"/>
    <n v="4"/>
    <n v="0"/>
    <n v="0"/>
    <n v="2"/>
    <n v="1"/>
    <n v="4"/>
    <n v="0"/>
    <n v="4"/>
    <n v="0"/>
  </r>
  <r>
    <x v="7"/>
    <s v="Iced Coffee with Sugar Free French Vanilla Syrup (Large)"/>
    <s v="32 fl oz cup"/>
    <n v="160"/>
    <n v="80"/>
    <n v="9"/>
    <n v="14"/>
    <n v="6"/>
    <n v="29"/>
    <n v="0"/>
    <n v="35"/>
    <n v="12"/>
    <n v="135"/>
    <n v="6"/>
    <n v="18"/>
    <n v="6"/>
    <n v="0"/>
    <n v="0"/>
    <n v="2"/>
    <n v="2"/>
    <n v="6"/>
    <n v="0"/>
    <n v="8"/>
    <n v="0"/>
  </r>
  <r>
    <x v="7"/>
    <s v="Iced Mocha (Small)"/>
    <s v="12 fl oz cup"/>
    <n v="290"/>
    <n v="100"/>
    <n v="11"/>
    <n v="17"/>
    <n v="7"/>
    <n v="33"/>
    <n v="0"/>
    <n v="35"/>
    <n v="12"/>
    <n v="125"/>
    <n v="5"/>
    <n v="41"/>
    <n v="14"/>
    <n v="1"/>
    <n v="4"/>
    <n v="34"/>
    <n v="8"/>
    <n v="10"/>
    <n v="0"/>
    <n v="25"/>
    <n v="4"/>
  </r>
  <r>
    <x v="7"/>
    <s v="Iced Mocha (Medium)"/>
    <s v="16 fl oz cup"/>
    <n v="350"/>
    <n v="110"/>
    <n v="13"/>
    <n v="19"/>
    <n v="8"/>
    <n v="38"/>
    <n v="0"/>
    <n v="40"/>
    <n v="13"/>
    <n v="150"/>
    <n v="6"/>
    <n v="50"/>
    <n v="17"/>
    <n v="1"/>
    <n v="5"/>
    <n v="43"/>
    <n v="9"/>
    <n v="10"/>
    <n v="0"/>
    <n v="30"/>
    <n v="6"/>
  </r>
  <r>
    <x v="7"/>
    <s v="Iced Mocha (Large)"/>
    <s v="22 fl oz cup"/>
    <n v="480"/>
    <n v="150"/>
    <n v="16"/>
    <n v="25"/>
    <n v="10"/>
    <n v="49"/>
    <n v="0.5"/>
    <n v="50"/>
    <n v="17"/>
    <n v="220"/>
    <n v="9"/>
    <n v="70"/>
    <n v="23"/>
    <n v="2"/>
    <n v="8"/>
    <n v="62"/>
    <n v="14"/>
    <n v="15"/>
    <n v="0"/>
    <n v="40"/>
    <n v="8"/>
  </r>
  <r>
    <x v="7"/>
    <s v="Iced Mocha with Nonfat Milk (Small)"/>
    <s v="12 fl oz cup"/>
    <n v="240"/>
    <n v="45"/>
    <n v="5"/>
    <n v="8"/>
    <n v="3"/>
    <n v="16"/>
    <n v="0"/>
    <n v="20"/>
    <n v="7"/>
    <n v="125"/>
    <n v="5"/>
    <n v="41"/>
    <n v="14"/>
    <n v="1"/>
    <n v="4"/>
    <n v="35"/>
    <n v="8"/>
    <n v="10"/>
    <n v="0"/>
    <n v="25"/>
    <n v="4"/>
  </r>
  <r>
    <x v="7"/>
    <s v="Iced Mocha with Nonfat Milk (Medium)"/>
    <s v="16 fl oz cup"/>
    <n v="290"/>
    <n v="45"/>
    <n v="5"/>
    <n v="8"/>
    <n v="3.5"/>
    <n v="17"/>
    <n v="0"/>
    <n v="20"/>
    <n v="7"/>
    <n v="150"/>
    <n v="6"/>
    <n v="50"/>
    <n v="17"/>
    <n v="1"/>
    <n v="5"/>
    <n v="43"/>
    <n v="10"/>
    <n v="15"/>
    <n v="0"/>
    <n v="30"/>
    <n v="6"/>
  </r>
  <r>
    <x v="7"/>
    <s v="Iced Mocha with Nonfat Milk (Large)"/>
    <s v="22 fl oz cup"/>
    <n v="390"/>
    <n v="50"/>
    <n v="6"/>
    <n v="9"/>
    <n v="3.5"/>
    <n v="18"/>
    <n v="0"/>
    <n v="25"/>
    <n v="8"/>
    <n v="220"/>
    <n v="9"/>
    <n v="71"/>
    <n v="24"/>
    <n v="2"/>
    <n v="8"/>
    <n v="62"/>
    <n v="14"/>
    <n v="20"/>
    <n v="0"/>
    <n v="45"/>
    <n v="8"/>
  </r>
  <r>
    <x v="7"/>
    <s v="Iced Caramel Mocha (Small)"/>
    <s v="12 fl oz cup"/>
    <n v="280"/>
    <n v="100"/>
    <n v="11"/>
    <n v="17"/>
    <n v="7"/>
    <n v="33"/>
    <n v="0"/>
    <n v="35"/>
    <n v="12"/>
    <n v="140"/>
    <n v="6"/>
    <n v="38"/>
    <n v="13"/>
    <n v="0"/>
    <n v="0"/>
    <n v="33"/>
    <n v="8"/>
    <n v="10"/>
    <n v="0"/>
    <n v="25"/>
    <n v="2"/>
  </r>
  <r>
    <x v="7"/>
    <s v="Iced Caramel Mocha (Medium)"/>
    <s v="16 fl oz cup"/>
    <n v="340"/>
    <n v="110"/>
    <n v="13"/>
    <n v="19"/>
    <n v="7"/>
    <n v="37"/>
    <n v="0"/>
    <n v="40"/>
    <n v="13"/>
    <n v="170"/>
    <n v="7"/>
    <n v="46"/>
    <n v="15"/>
    <n v="1"/>
    <n v="2"/>
    <n v="41"/>
    <n v="9"/>
    <n v="10"/>
    <n v="0"/>
    <n v="30"/>
    <n v="2"/>
  </r>
  <r>
    <x v="7"/>
    <s v="Iced Caramel Mocha (Large)"/>
    <s v="22 fl oz cup"/>
    <n v="460"/>
    <n v="150"/>
    <n v="16"/>
    <n v="25"/>
    <n v="10"/>
    <n v="48"/>
    <n v="0.5"/>
    <n v="50"/>
    <n v="17"/>
    <n v="250"/>
    <n v="10"/>
    <n v="65"/>
    <n v="22"/>
    <n v="1"/>
    <n v="3"/>
    <n v="59"/>
    <n v="13"/>
    <n v="15"/>
    <n v="0"/>
    <n v="40"/>
    <n v="4"/>
  </r>
  <r>
    <x v="7"/>
    <s v="Iced Nonfat Caramel Mocha (Small)"/>
    <s v="12 fl oz cup"/>
    <n v="230"/>
    <n v="45"/>
    <n v="5"/>
    <n v="8"/>
    <n v="3"/>
    <n v="16"/>
    <n v="0"/>
    <n v="20"/>
    <n v="7"/>
    <n v="140"/>
    <n v="6"/>
    <n v="38"/>
    <n v="13"/>
    <n v="0"/>
    <n v="0"/>
    <n v="33"/>
    <n v="8"/>
    <n v="10"/>
    <n v="0"/>
    <n v="25"/>
    <n v="2"/>
  </r>
  <r>
    <x v="7"/>
    <s v="Iced Nonfat Caramel Mocha (Medium)"/>
    <s v="16 fl oz cup"/>
    <n v="270"/>
    <n v="45"/>
    <n v="5"/>
    <n v="8"/>
    <n v="3"/>
    <n v="16"/>
    <n v="0"/>
    <n v="20"/>
    <n v="7"/>
    <n v="170"/>
    <n v="7"/>
    <n v="47"/>
    <n v="16"/>
    <n v="1"/>
    <n v="2"/>
    <n v="41"/>
    <n v="10"/>
    <n v="15"/>
    <n v="0"/>
    <n v="30"/>
    <n v="2"/>
  </r>
  <r>
    <x v="7"/>
    <s v="Iced Nonfat Caramel Mocha (Large)"/>
    <s v="22 fl oz cup"/>
    <n v="370"/>
    <n v="50"/>
    <n v="6"/>
    <n v="8"/>
    <n v="3.5"/>
    <n v="17"/>
    <n v="0"/>
    <n v="25"/>
    <n v="8"/>
    <n v="250"/>
    <n v="10"/>
    <n v="65"/>
    <n v="22"/>
    <n v="1"/>
    <n v="3"/>
    <n v="59"/>
    <n v="14"/>
    <n v="20"/>
    <n v="0"/>
    <n v="45"/>
    <n v="4"/>
  </r>
  <r>
    <x v="7"/>
    <s v="FrappÃ© Mocha (Small)"/>
    <s v="12 fl oz cup"/>
    <n v="450"/>
    <n v="160"/>
    <n v="18"/>
    <n v="28"/>
    <n v="12"/>
    <n v="59"/>
    <n v="1"/>
    <n v="65"/>
    <n v="21"/>
    <n v="125"/>
    <n v="5"/>
    <n v="65"/>
    <n v="22"/>
    <n v="1"/>
    <n v="3"/>
    <n v="57"/>
    <n v="7"/>
    <n v="15"/>
    <n v="0"/>
    <n v="20"/>
    <n v="4"/>
  </r>
  <r>
    <x v="7"/>
    <s v="FrappÃ© Mocha (Medium)"/>
    <s v="16 fl oz cup"/>
    <n v="550"/>
    <n v="200"/>
    <n v="22"/>
    <n v="34"/>
    <n v="14"/>
    <n v="71"/>
    <n v="1"/>
    <n v="75"/>
    <n v="25"/>
    <n v="160"/>
    <n v="7"/>
    <n v="80"/>
    <n v="27"/>
    <n v="1"/>
    <n v="4"/>
    <n v="71"/>
    <n v="9"/>
    <n v="15"/>
    <n v="0"/>
    <n v="25"/>
    <n v="4"/>
  </r>
  <r>
    <x v="7"/>
    <s v="FrappÃ© Mocha (Large)"/>
    <s v="22 fl oz cup"/>
    <n v="670"/>
    <n v="240"/>
    <n v="26"/>
    <n v="41"/>
    <n v="17"/>
    <n v="85"/>
    <n v="1"/>
    <n v="90"/>
    <n v="30"/>
    <n v="190"/>
    <n v="8"/>
    <n v="98"/>
    <n v="33"/>
    <n v="1"/>
    <n v="4"/>
    <n v="88"/>
    <n v="11"/>
    <n v="20"/>
    <n v="0"/>
    <n v="35"/>
    <n v="4"/>
  </r>
  <r>
    <x v="7"/>
    <s v="FrappÃ© Caramel (Small)"/>
    <s v="12 fl oz cup"/>
    <n v="450"/>
    <n v="170"/>
    <n v="19"/>
    <n v="29"/>
    <n v="12"/>
    <n v="60"/>
    <n v="1"/>
    <n v="65"/>
    <n v="22"/>
    <n v="125"/>
    <n v="5"/>
    <n v="64"/>
    <n v="21"/>
    <n v="0"/>
    <n v="0"/>
    <n v="57"/>
    <n v="7"/>
    <n v="15"/>
    <n v="0"/>
    <n v="25"/>
    <n v="2"/>
  </r>
  <r>
    <x v="7"/>
    <s v="FrappÃ© Caramel (Medium)"/>
    <s v="16 fl oz cup"/>
    <n v="550"/>
    <n v="200"/>
    <n v="23"/>
    <n v="35"/>
    <n v="15"/>
    <n v="73"/>
    <n v="1"/>
    <n v="80"/>
    <n v="27"/>
    <n v="160"/>
    <n v="7"/>
    <n v="79"/>
    <n v="26"/>
    <n v="0"/>
    <n v="0"/>
    <n v="71"/>
    <n v="9"/>
    <n v="20"/>
    <n v="0"/>
    <n v="30"/>
    <n v="2"/>
  </r>
  <r>
    <x v="7"/>
    <s v="FrappÃ© Caramel (Large)"/>
    <s v="22 fl oz cup"/>
    <n v="670"/>
    <n v="250"/>
    <n v="27"/>
    <n v="42"/>
    <n v="17"/>
    <n v="87"/>
    <n v="1.5"/>
    <n v="95"/>
    <n v="32"/>
    <n v="190"/>
    <n v="8"/>
    <n v="96"/>
    <n v="32"/>
    <n v="0"/>
    <n v="0"/>
    <n v="88"/>
    <n v="11"/>
    <n v="20"/>
    <n v="0"/>
    <n v="35"/>
    <n v="2"/>
  </r>
  <r>
    <x v="7"/>
    <s v="FrappÃ© Chocolate Chip (Small)"/>
    <s v="12 fl oz cup"/>
    <n v="530"/>
    <n v="200"/>
    <n v="23"/>
    <n v="35"/>
    <n v="14"/>
    <n v="72"/>
    <n v="1"/>
    <n v="65"/>
    <n v="22"/>
    <n v="135"/>
    <n v="6"/>
    <n v="76"/>
    <n v="25"/>
    <n v="1"/>
    <n v="5"/>
    <n v="67"/>
    <n v="8"/>
    <n v="15"/>
    <n v="0"/>
    <n v="25"/>
    <n v="4"/>
  </r>
  <r>
    <x v="7"/>
    <s v="FrappÃ© Chocolate Chip (Medium)"/>
    <s v="16 fl oz cup"/>
    <n v="630"/>
    <n v="240"/>
    <n v="26"/>
    <n v="41"/>
    <n v="17"/>
    <n v="85"/>
    <n v="1"/>
    <n v="80"/>
    <n v="26"/>
    <n v="160"/>
    <n v="7"/>
    <n v="91"/>
    <n v="30"/>
    <n v="1"/>
    <n v="5"/>
    <n v="81"/>
    <n v="9"/>
    <n v="15"/>
    <n v="0"/>
    <n v="30"/>
    <n v="4"/>
  </r>
  <r>
    <x v="7"/>
    <s v="FrappÃ© Chocolate Chip (Large)"/>
    <s v="22 fl oz cup"/>
    <n v="760"/>
    <n v="280"/>
    <n v="31"/>
    <n v="48"/>
    <n v="20"/>
    <n v="101"/>
    <n v="1.5"/>
    <n v="95"/>
    <n v="32"/>
    <n v="200"/>
    <n v="8"/>
    <n v="111"/>
    <n v="37"/>
    <n v="1"/>
    <n v="5"/>
    <n v="99"/>
    <n v="12"/>
    <n v="20"/>
    <n v="0"/>
    <n v="35"/>
    <n v="6"/>
  </r>
  <r>
    <x v="8"/>
    <s v="Blueberry Pomegranate Smoothie (Small)"/>
    <s v="12 fl oz cup"/>
    <n v="220"/>
    <n v="5"/>
    <n v="0.5"/>
    <n v="1"/>
    <n v="0"/>
    <n v="0"/>
    <n v="0"/>
    <n v="5"/>
    <n v="1"/>
    <n v="40"/>
    <n v="2"/>
    <n v="50"/>
    <n v="17"/>
    <n v="3"/>
    <n v="12"/>
    <n v="44"/>
    <n v="2"/>
    <n v="0"/>
    <n v="2"/>
    <n v="6"/>
    <n v="2"/>
  </r>
  <r>
    <x v="8"/>
    <s v="Blueberry Pomegranate Smoothie (Medium)"/>
    <s v="16 fl oz cup"/>
    <n v="260"/>
    <n v="5"/>
    <n v="1"/>
    <n v="1"/>
    <n v="0"/>
    <n v="0"/>
    <n v="0"/>
    <n v="5"/>
    <n v="1"/>
    <n v="50"/>
    <n v="2"/>
    <n v="62"/>
    <n v="21"/>
    <n v="4"/>
    <n v="15"/>
    <n v="54"/>
    <n v="3"/>
    <n v="0"/>
    <n v="4"/>
    <n v="8"/>
    <n v="2"/>
  </r>
  <r>
    <x v="8"/>
    <s v="Blueberry Pomegranate Smoothie (Large)"/>
    <s v="22 fl oz cup"/>
    <n v="340"/>
    <n v="10"/>
    <n v="1"/>
    <n v="2"/>
    <n v="0.5"/>
    <n v="3"/>
    <n v="0"/>
    <n v="5"/>
    <n v="2"/>
    <n v="65"/>
    <n v="3"/>
    <n v="79"/>
    <n v="26"/>
    <n v="5"/>
    <n v="19"/>
    <n v="70"/>
    <n v="4"/>
    <n v="0"/>
    <n v="4"/>
    <n v="10"/>
    <n v="2"/>
  </r>
  <r>
    <x v="8"/>
    <s v="Strawberry Banana Smoothie (Small)"/>
    <s v="12 fl oz cup"/>
    <n v="210"/>
    <n v="5"/>
    <n v="0.5"/>
    <n v="1"/>
    <n v="0"/>
    <n v="0"/>
    <n v="0"/>
    <n v="5"/>
    <n v="1"/>
    <n v="50"/>
    <n v="2"/>
    <n v="47"/>
    <n v="16"/>
    <n v="3"/>
    <n v="10"/>
    <n v="44"/>
    <n v="3"/>
    <n v="0"/>
    <n v="30"/>
    <n v="8"/>
    <n v="2"/>
  </r>
  <r>
    <x v="8"/>
    <s v="Strawberry Banana Smoothie (Medium)"/>
    <s v="16 fl oz cup"/>
    <n v="250"/>
    <n v="5"/>
    <n v="1"/>
    <n v="1"/>
    <n v="0"/>
    <n v="0"/>
    <n v="0"/>
    <n v="5"/>
    <n v="1"/>
    <n v="60"/>
    <n v="2"/>
    <n v="58"/>
    <n v="19"/>
    <n v="3"/>
    <n v="13"/>
    <n v="54"/>
    <n v="4"/>
    <n v="0"/>
    <n v="35"/>
    <n v="8"/>
    <n v="4"/>
  </r>
  <r>
    <x v="8"/>
    <s v="Strawberry Banana Smoothie (Large)"/>
    <s v="22 fl oz cup"/>
    <n v="330"/>
    <n v="10"/>
    <n v="1"/>
    <n v="2"/>
    <n v="0.5"/>
    <n v="3"/>
    <n v="0"/>
    <n v="5"/>
    <n v="2"/>
    <n v="80"/>
    <n v="3"/>
    <n v="74"/>
    <n v="25"/>
    <n v="4"/>
    <n v="16"/>
    <n v="70"/>
    <n v="5"/>
    <n v="0"/>
    <n v="45"/>
    <n v="10"/>
    <n v="4"/>
  </r>
  <r>
    <x v="8"/>
    <s v="Mango Pineapple Smoothie (Small)"/>
    <s v="12 fl oz cup"/>
    <n v="210"/>
    <n v="5"/>
    <n v="0.5"/>
    <n v="1"/>
    <n v="0"/>
    <n v="0"/>
    <n v="0"/>
    <n v="5"/>
    <n v="1"/>
    <n v="40"/>
    <n v="2"/>
    <n v="50"/>
    <n v="17"/>
    <n v="1"/>
    <n v="4"/>
    <n v="46"/>
    <n v="2"/>
    <n v="30"/>
    <n v="20"/>
    <n v="8"/>
    <n v="2"/>
  </r>
  <r>
    <x v="8"/>
    <s v="Mango Pineapple Smoothie (Medium)"/>
    <s v="16 fl oz cup"/>
    <n v="260"/>
    <n v="10"/>
    <n v="1"/>
    <n v="1"/>
    <n v="0"/>
    <n v="0"/>
    <n v="0"/>
    <n v="5"/>
    <n v="1"/>
    <n v="45"/>
    <n v="2"/>
    <n v="61"/>
    <n v="20"/>
    <n v="1"/>
    <n v="5"/>
    <n v="56"/>
    <n v="3"/>
    <n v="40"/>
    <n v="25"/>
    <n v="8"/>
    <n v="2"/>
  </r>
  <r>
    <x v="8"/>
    <s v="Mango Pineapple Smoothie (Large)"/>
    <s v="22 fl oz cup"/>
    <n v="340"/>
    <n v="10"/>
    <n v="1"/>
    <n v="2"/>
    <n v="0.5"/>
    <n v="3"/>
    <n v="0"/>
    <n v="5"/>
    <n v="2"/>
    <n v="60"/>
    <n v="3"/>
    <n v="78"/>
    <n v="26"/>
    <n v="2"/>
    <n v="6"/>
    <n v="72"/>
    <n v="4"/>
    <n v="50"/>
    <n v="30"/>
    <n v="10"/>
    <n v="2"/>
  </r>
  <r>
    <x v="8"/>
    <s v="Vanilla Shake (Small)"/>
    <s v="12 fl oz cup"/>
    <n v="530"/>
    <n v="140"/>
    <n v="15"/>
    <n v="24"/>
    <n v="10"/>
    <n v="49"/>
    <n v="1"/>
    <n v="60"/>
    <n v="20"/>
    <n v="160"/>
    <n v="7"/>
    <n v="86"/>
    <n v="29"/>
    <n v="0"/>
    <n v="0"/>
    <n v="63"/>
    <n v="11"/>
    <n v="20"/>
    <n v="0"/>
    <n v="40"/>
    <n v="0"/>
  </r>
  <r>
    <x v="8"/>
    <s v="Vanilla Shake (Medium)"/>
    <s v="16 fl oz cup"/>
    <n v="660"/>
    <n v="170"/>
    <n v="19"/>
    <n v="29"/>
    <n v="12"/>
    <n v="61"/>
    <n v="1"/>
    <n v="75"/>
    <n v="24"/>
    <n v="200"/>
    <n v="9"/>
    <n v="109"/>
    <n v="36"/>
    <n v="0"/>
    <n v="0"/>
    <n v="81"/>
    <n v="14"/>
    <n v="25"/>
    <n v="0"/>
    <n v="50"/>
    <n v="0"/>
  </r>
  <r>
    <x v="8"/>
    <s v="Vanilla Shake (Large)"/>
    <s v="22 fl oz cup"/>
    <n v="820"/>
    <n v="210"/>
    <n v="23"/>
    <n v="35"/>
    <n v="15"/>
    <n v="73"/>
    <n v="1"/>
    <n v="90"/>
    <n v="29"/>
    <n v="260"/>
    <n v="11"/>
    <n v="135"/>
    <n v="45"/>
    <n v="0"/>
    <n v="0"/>
    <n v="101"/>
    <n v="18"/>
    <n v="30"/>
    <n v="0"/>
    <n v="60"/>
    <n v="0"/>
  </r>
  <r>
    <x v="8"/>
    <s v="Strawberry Shake (Small)"/>
    <s v="12 fl oz cup"/>
    <n v="550"/>
    <n v="150"/>
    <n v="16"/>
    <n v="25"/>
    <n v="10"/>
    <n v="52"/>
    <n v="1"/>
    <n v="60"/>
    <n v="21"/>
    <n v="160"/>
    <n v="7"/>
    <n v="90"/>
    <n v="30"/>
    <n v="0"/>
    <n v="0"/>
    <n v="79"/>
    <n v="12"/>
    <n v="20"/>
    <n v="0"/>
    <n v="40"/>
    <n v="0"/>
  </r>
  <r>
    <x v="8"/>
    <s v="Strawberry Shake (Medium)"/>
    <s v="16 fl oz cup"/>
    <n v="690"/>
    <n v="180"/>
    <n v="20"/>
    <n v="30"/>
    <n v="13"/>
    <n v="63"/>
    <n v="1"/>
    <n v="75"/>
    <n v="25"/>
    <n v="210"/>
    <n v="9"/>
    <n v="114"/>
    <n v="38"/>
    <n v="0"/>
    <n v="0"/>
    <n v="100"/>
    <n v="15"/>
    <n v="25"/>
    <n v="0"/>
    <n v="50"/>
    <n v="0"/>
  </r>
  <r>
    <x v="8"/>
    <s v="Strawberry Shake (Large)"/>
    <s v="22 fl oz cup"/>
    <n v="850"/>
    <n v="210"/>
    <n v="24"/>
    <n v="36"/>
    <n v="15"/>
    <n v="75"/>
    <n v="1"/>
    <n v="90"/>
    <n v="30"/>
    <n v="260"/>
    <n v="11"/>
    <n v="140"/>
    <n v="47"/>
    <n v="0"/>
    <n v="0"/>
    <n v="123"/>
    <n v="18"/>
    <n v="30"/>
    <n v="0"/>
    <n v="70"/>
    <n v="0"/>
  </r>
  <r>
    <x v="8"/>
    <s v="Chocolate Shake (Small)"/>
    <s v="12 fl oz cup"/>
    <n v="560"/>
    <n v="150"/>
    <n v="16"/>
    <n v="25"/>
    <n v="10"/>
    <n v="51"/>
    <n v="1"/>
    <n v="60"/>
    <n v="20"/>
    <n v="240"/>
    <n v="10"/>
    <n v="91"/>
    <n v="30"/>
    <n v="1"/>
    <n v="5"/>
    <n v="77"/>
    <n v="12"/>
    <n v="20"/>
    <n v="0"/>
    <n v="40"/>
    <n v="8"/>
  </r>
  <r>
    <x v="8"/>
    <s v="Chocolate Shake (Medium)"/>
    <s v="16 fl oz cup"/>
    <n v="700"/>
    <n v="180"/>
    <n v="20"/>
    <n v="30"/>
    <n v="12"/>
    <n v="62"/>
    <n v="1"/>
    <n v="75"/>
    <n v="24"/>
    <n v="300"/>
    <n v="13"/>
    <n v="114"/>
    <n v="38"/>
    <n v="2"/>
    <n v="6"/>
    <n v="97"/>
    <n v="15"/>
    <n v="25"/>
    <n v="0"/>
    <n v="50"/>
    <n v="10"/>
  </r>
  <r>
    <x v="8"/>
    <s v="Chocolate Shake (Large)"/>
    <s v="22 fl oz cup"/>
    <n v="850"/>
    <n v="210"/>
    <n v="23"/>
    <n v="36"/>
    <n v="15"/>
    <n v="74"/>
    <n v="1"/>
    <n v="85"/>
    <n v="29"/>
    <n v="380"/>
    <n v="16"/>
    <n v="141"/>
    <n v="47"/>
    <n v="2"/>
    <n v="8"/>
    <n v="120"/>
    <n v="19"/>
    <n v="30"/>
    <n v="0"/>
    <n v="60"/>
    <n v="15"/>
  </r>
  <r>
    <x v="8"/>
    <s v="Shamrock Shake (Medium)"/>
    <s v="16 fl oz cup"/>
    <n v="660"/>
    <n v="170"/>
    <n v="19"/>
    <n v="29"/>
    <n v="12"/>
    <n v="61"/>
    <n v="1"/>
    <n v="75"/>
    <n v="24"/>
    <n v="210"/>
    <n v="9"/>
    <n v="109"/>
    <n v="36"/>
    <n v="0"/>
    <n v="0"/>
    <n v="93"/>
    <n v="14"/>
    <n v="25"/>
    <n v="0"/>
    <n v="50"/>
    <n v="0"/>
  </r>
  <r>
    <x v="8"/>
    <s v="Shamrock Shake (Large)"/>
    <s v="22 fl oz cup"/>
    <n v="820"/>
    <n v="210"/>
    <n v="23"/>
    <n v="35"/>
    <n v="15"/>
    <n v="73"/>
    <n v="1"/>
    <n v="90"/>
    <n v="29"/>
    <n v="260"/>
    <n v="11"/>
    <n v="135"/>
    <n v="45"/>
    <n v="0"/>
    <n v="0"/>
    <n v="115"/>
    <n v="18"/>
    <n v="30"/>
    <n v="0"/>
    <n v="60"/>
    <n v="0"/>
  </r>
  <r>
    <x v="8"/>
    <s v="McFlurry with M&amp;Mâ€™s Candies (Small)"/>
    <s v="10.9 oz (310 g)"/>
    <n v="650"/>
    <n v="210"/>
    <n v="23"/>
    <n v="35"/>
    <n v="14"/>
    <n v="72"/>
    <n v="0.5"/>
    <n v="50"/>
    <n v="17"/>
    <n v="180"/>
    <n v="7"/>
    <n v="96"/>
    <n v="32"/>
    <n v="1"/>
    <n v="6"/>
    <n v="89"/>
    <n v="13"/>
    <n v="15"/>
    <n v="0"/>
    <n v="45"/>
    <n v="8"/>
  </r>
  <r>
    <x v="8"/>
    <s v="McFlurry with M&amp;Mâ€™s Candies (Medium)"/>
    <s v="16.2 oz (460 g)"/>
    <n v="930"/>
    <n v="290"/>
    <n v="33"/>
    <n v="50"/>
    <n v="20"/>
    <n v="102"/>
    <n v="1"/>
    <n v="75"/>
    <n v="25"/>
    <n v="260"/>
    <n v="11"/>
    <n v="139"/>
    <n v="46"/>
    <n v="2"/>
    <n v="7"/>
    <n v="128"/>
    <n v="20"/>
    <n v="25"/>
    <n v="0"/>
    <n v="70"/>
    <n v="10"/>
  </r>
  <r>
    <x v="8"/>
    <s v="McFlurry with M&amp;Mâ€™s Candies (Snack)"/>
    <s v="7.3 oz (207 g)"/>
    <n v="430"/>
    <n v="140"/>
    <n v="15"/>
    <n v="24"/>
    <n v="10"/>
    <n v="48"/>
    <n v="0"/>
    <n v="35"/>
    <n v="11"/>
    <n v="120"/>
    <n v="5"/>
    <n v="64"/>
    <n v="21"/>
    <n v="1"/>
    <n v="4"/>
    <n v="59"/>
    <n v="9"/>
    <n v="10"/>
    <n v="0"/>
    <n v="30"/>
    <n v="4"/>
  </r>
  <r>
    <x v="8"/>
    <s v="McFlurry with Oreo Cookies (Small)"/>
    <s v="10.1 oz (285 g)"/>
    <n v="510"/>
    <n v="150"/>
    <n v="17"/>
    <n v="26"/>
    <n v="9"/>
    <n v="44"/>
    <n v="0.5"/>
    <n v="45"/>
    <n v="14"/>
    <n v="280"/>
    <n v="12"/>
    <n v="80"/>
    <n v="27"/>
    <n v="1"/>
    <n v="4"/>
    <n v="64"/>
    <n v="12"/>
    <n v="15"/>
    <n v="0"/>
    <n v="40"/>
    <n v="8"/>
  </r>
  <r>
    <x v="8"/>
    <s v="McFlurry with Oreo Cookies (Medium)"/>
    <s v="13.4 oz (381 g)"/>
    <n v="690"/>
    <n v="200"/>
    <n v="23"/>
    <n v="35"/>
    <n v="12"/>
    <n v="58"/>
    <n v="1"/>
    <n v="55"/>
    <n v="19"/>
    <n v="380"/>
    <n v="16"/>
    <n v="106"/>
    <n v="35"/>
    <n v="1"/>
    <n v="5"/>
    <n v="85"/>
    <n v="15"/>
    <n v="20"/>
    <n v="0"/>
    <n v="50"/>
    <n v="10"/>
  </r>
  <r>
    <x v="8"/>
    <s v="McFlurry with Oreo Cookies (Snack)"/>
    <s v="6.7 oz (190 g)"/>
    <n v="340"/>
    <n v="100"/>
    <n v="11"/>
    <n v="17"/>
    <n v="6"/>
    <n v="29"/>
    <n v="0"/>
    <n v="30"/>
    <n v="9"/>
    <n v="190"/>
    <n v="8"/>
    <n v="53"/>
    <n v="18"/>
    <n v="1"/>
    <n v="2"/>
    <n v="43"/>
    <n v="8"/>
    <n v="10"/>
    <n v="0"/>
    <n v="25"/>
    <n v="6"/>
  </r>
  <r>
    <x v="8"/>
    <s v="McFlurry with Reese's Peanut Butter Cups (Medium)"/>
    <s v="14.2 oz (403 g)"/>
    <n v="810"/>
    <n v="290"/>
    <n v="32"/>
    <n v="50"/>
    <n v="15"/>
    <n v="76"/>
    <n v="1"/>
    <n v="60"/>
    <n v="20"/>
    <n v="400"/>
    <n v="17"/>
    <n v="114"/>
    <n v="38"/>
    <n v="2"/>
    <n v="9"/>
    <n v="103"/>
    <n v="21"/>
    <n v="20"/>
    <n v="0"/>
    <n v="60"/>
    <n v="6"/>
  </r>
  <r>
    <x v="8"/>
    <s v="McFlurry with Reese's Peanut Butter Cups (Snack)"/>
    <s v="7.1 oz (202 g)"/>
    <n v="410"/>
    <n v="150"/>
    <n v="16"/>
    <n v="25"/>
    <n v="8"/>
    <n v="38"/>
    <n v="0"/>
    <n v="30"/>
    <n v="10"/>
    <n v="200"/>
    <n v="8"/>
    <n v="57"/>
    <n v="19"/>
    <n v="1"/>
    <n v="5"/>
    <n v="51"/>
    <n v="10"/>
    <n v="10"/>
    <n v="0"/>
    <n v="3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EC1B4-27D1-49D8-B7C8-291F6A53EB5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M13" firstHeaderRow="0" firstDataRow="1" firstDataCol="1"/>
  <pivotFields count="24">
    <pivotField axis="axisRow" showAll="0">
      <items count="10">
        <item x="1"/>
        <item x="6"/>
        <item x="0"/>
        <item x="2"/>
        <item x="7"/>
        <item x="5"/>
        <item x="3"/>
        <item x="8"/>
        <item x="4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Average of Calories" fld="3" subtotal="average" baseField="0" baseItem="0"/>
    <dataField name="Average of Calcium (% Daily Value)" fld="22" subtotal="average" baseField="0" baseItem="0"/>
    <dataField name="Average of Vitamin C (% Daily Value)" fld="21" subtotal="average" baseField="0" baseItem="0"/>
    <dataField name="Average of Iron (% Daily Value)" fld="23" subtotal="average" baseField="0" baseItem="0"/>
    <dataField name="Average of Vitamin A (% Daily Value)" fld="20" subtotal="average" baseField="0" baseItem="0"/>
    <dataField name="Average of Protein" fld="19" subtotal="average" baseField="0" baseItem="0"/>
    <dataField name="Average of Sodium" fld="12" subtotal="average" baseField="0" baseItem="0"/>
    <dataField name="Average of Cholesterol" fld="10" subtotal="average" baseField="0" baseItem="0"/>
    <dataField name="Average of Sugars" fld="18" subtotal="average" baseField="0" baseItem="0"/>
    <dataField name="Average of Carbohydrates" fld="14" subtotal="average" baseField="0" baseItem="0"/>
    <dataField name="Average of Dietary Fiber" fld="16" subtotal="average" baseField="0" baseItem="0"/>
    <dataField name="Average of Total Fat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7D9D2-AE5E-4E68-992B-597DA56361B3}" name="PivotTable2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1:M11" firstHeaderRow="0" firstDataRow="1" firstDataCol="1"/>
  <pivotFields count="24">
    <pivotField axis="axisRow" showAll="0">
      <items count="10">
        <item x="1"/>
        <item x="6"/>
        <item x="0"/>
        <item x="2"/>
        <item x="7"/>
        <item x="5"/>
        <item x="3"/>
        <item x="8"/>
        <item x="4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Average of Calories" fld="3" subtotal="average" baseField="0" baseItem="0"/>
    <dataField name="Average of Calcium (% Daily Value)" fld="22" subtotal="average" baseField="0" baseItem="0"/>
    <dataField name="Average of Vitamin C (% Daily Value)" fld="21" subtotal="average" baseField="0" baseItem="0"/>
    <dataField name="Average of Iron (% Daily Value)" fld="23" subtotal="average" baseField="0" baseItem="0"/>
    <dataField name="Average of Vitamin A (% Daily Value)" fld="20" subtotal="average" baseField="0" baseItem="0"/>
    <dataField name="Average of Protein" fld="19" subtotal="average" baseField="0" baseItem="0"/>
    <dataField name="Average of Sodium" fld="12" subtotal="average" baseField="0" baseItem="0"/>
    <dataField name="Average of Cholesterol" fld="10" subtotal="average" baseField="0" baseItem="0"/>
    <dataField name="Average of Sugars" fld="18" subtotal="average" baseField="0" baseItem="0"/>
    <dataField name="Average of Carbohydrates" fld="14" subtotal="average" baseField="0" baseItem="0"/>
    <dataField name="Average of Dietary Fiber" fld="16" subtotal="average" baseField="0" baseItem="0"/>
    <dataField name="Average of Total Fat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0A36-4D00-413E-ADA8-791FE9D4AAFB}">
  <dimension ref="A3:M18"/>
  <sheetViews>
    <sheetView zoomScale="50" zoomScaleNormal="82" workbookViewId="0">
      <selection activeCell="A3" sqref="A3:M13"/>
    </sheetView>
  </sheetViews>
  <sheetFormatPr defaultRowHeight="14.4" x14ac:dyDescent="0.3"/>
  <cols>
    <col min="1" max="1" width="17.5546875" bestFit="1" customWidth="1"/>
    <col min="2" max="2" width="17.33203125" bestFit="1" customWidth="1"/>
    <col min="3" max="3" width="30.77734375" bestFit="1" customWidth="1"/>
    <col min="4" max="4" width="32.21875" bestFit="1" customWidth="1"/>
    <col min="5" max="5" width="27.44140625" bestFit="1" customWidth="1"/>
    <col min="6" max="6" width="32.33203125" bestFit="1" customWidth="1"/>
    <col min="7" max="7" width="16.77734375" bestFit="1" customWidth="1"/>
    <col min="8" max="8" width="17.21875" bestFit="1" customWidth="1"/>
    <col min="9" max="9" width="20.21875" bestFit="1" customWidth="1"/>
    <col min="10" max="10" width="16.21875" bestFit="1" customWidth="1"/>
    <col min="11" max="11" width="23.21875" bestFit="1" customWidth="1"/>
    <col min="12" max="12" width="21.44140625" bestFit="1" customWidth="1"/>
    <col min="13" max="13" width="18" bestFit="1" customWidth="1"/>
  </cols>
  <sheetData>
    <row r="3" spans="1:13" x14ac:dyDescent="0.3">
      <c r="A3" s="1" t="s">
        <v>405</v>
      </c>
      <c r="B3" t="s">
        <v>408</v>
      </c>
      <c r="C3" t="s">
        <v>407</v>
      </c>
      <c r="D3" t="s">
        <v>409</v>
      </c>
      <c r="E3" t="s">
        <v>410</v>
      </c>
      <c r="F3" t="s">
        <v>411</v>
      </c>
      <c r="G3" t="s">
        <v>412</v>
      </c>
      <c r="H3" t="s">
        <v>413</v>
      </c>
      <c r="I3" t="s">
        <v>414</v>
      </c>
      <c r="J3" t="s">
        <v>415</v>
      </c>
      <c r="K3" t="s">
        <v>416</v>
      </c>
      <c r="L3" t="s">
        <v>417</v>
      </c>
      <c r="M3" t="s">
        <v>418</v>
      </c>
    </row>
    <row r="4" spans="1:13" x14ac:dyDescent="0.3">
      <c r="A4" s="2" t="s">
        <v>96</v>
      </c>
      <c r="B4" s="3">
        <v>494</v>
      </c>
      <c r="C4" s="3">
        <v>23</v>
      </c>
      <c r="D4" s="3">
        <v>7.333333333333333</v>
      </c>
      <c r="E4" s="3">
        <v>23.333333333333332</v>
      </c>
      <c r="F4" s="3">
        <v>6.9333333333333336</v>
      </c>
      <c r="G4" s="3">
        <v>27.333333333333332</v>
      </c>
      <c r="H4" s="3">
        <v>1020.6666666666666</v>
      </c>
      <c r="I4" s="3">
        <v>87.333333333333329</v>
      </c>
      <c r="J4" s="3">
        <v>8.8000000000000007</v>
      </c>
      <c r="K4" s="3">
        <v>40.133333333333333</v>
      </c>
      <c r="L4" s="3">
        <v>2.5333333333333332</v>
      </c>
      <c r="M4" s="3">
        <v>24.866666666666667</v>
      </c>
    </row>
    <row r="5" spans="1:13" x14ac:dyDescent="0.3">
      <c r="A5" s="2" t="s">
        <v>225</v>
      </c>
      <c r="B5" s="3">
        <v>113.70370370370371</v>
      </c>
      <c r="C5" s="3">
        <v>2.9629629629629628</v>
      </c>
      <c r="D5" s="3">
        <v>23.481481481481481</v>
      </c>
      <c r="E5" s="3">
        <v>0.29629629629629628</v>
      </c>
      <c r="F5" s="3">
        <v>0.7407407407407407</v>
      </c>
      <c r="G5" s="3">
        <v>1.3333333333333333</v>
      </c>
      <c r="H5" s="3">
        <v>41.481481481481481</v>
      </c>
      <c r="I5" s="3">
        <v>0.55555555555555558</v>
      </c>
      <c r="J5" s="3">
        <v>27.851851851851851</v>
      </c>
      <c r="K5" s="3">
        <v>28.814814814814813</v>
      </c>
      <c r="L5" s="3">
        <v>3.7037037037037035E-2</v>
      </c>
      <c r="M5" s="3">
        <v>9.2592592592592587E-2</v>
      </c>
    </row>
    <row r="6" spans="1:13" x14ac:dyDescent="0.3">
      <c r="A6" s="2" t="s">
        <v>17</v>
      </c>
      <c r="B6" s="3">
        <v>526.66666666666663</v>
      </c>
      <c r="C6" s="3">
        <v>16.166666666666668</v>
      </c>
      <c r="D6" s="3">
        <v>8.9047619047619051</v>
      </c>
      <c r="E6" s="3">
        <v>17.142857142857142</v>
      </c>
      <c r="F6" s="3">
        <v>6.9285714285714288</v>
      </c>
      <c r="G6" s="3">
        <v>19.857142857142858</v>
      </c>
      <c r="H6" s="3">
        <v>1211.0714285714287</v>
      </c>
      <c r="I6" s="3">
        <v>152.85714285714286</v>
      </c>
      <c r="J6" s="3">
        <v>8.2619047619047628</v>
      </c>
      <c r="K6" s="3">
        <v>49.761904761904759</v>
      </c>
      <c r="L6" s="3">
        <v>3.2619047619047619</v>
      </c>
      <c r="M6" s="3">
        <v>27.69047619047619</v>
      </c>
    </row>
    <row r="7" spans="1:13" x14ac:dyDescent="0.3">
      <c r="A7" s="2" t="s">
        <v>124</v>
      </c>
      <c r="B7" s="3">
        <v>552.96296296296293</v>
      </c>
      <c r="C7" s="3">
        <v>15.444444444444445</v>
      </c>
      <c r="D7" s="3">
        <v>12.62962962962963</v>
      </c>
      <c r="E7" s="3">
        <v>16.37037037037037</v>
      </c>
      <c r="F7" s="3">
        <v>20.444444444444443</v>
      </c>
      <c r="G7" s="3">
        <v>29.111111111111111</v>
      </c>
      <c r="H7" s="3">
        <v>1257.7777777777778</v>
      </c>
      <c r="I7" s="3">
        <v>75.370370370370367</v>
      </c>
      <c r="J7" s="3">
        <v>7.333333333333333</v>
      </c>
      <c r="K7" s="3">
        <v>49.074074074074076</v>
      </c>
      <c r="L7" s="3">
        <v>2.925925925925926</v>
      </c>
      <c r="M7" s="3">
        <v>26.962962962962962</v>
      </c>
    </row>
    <row r="8" spans="1:13" x14ac:dyDescent="0.3">
      <c r="A8" s="2" t="s">
        <v>258</v>
      </c>
      <c r="B8" s="3">
        <v>283.89473684210526</v>
      </c>
      <c r="C8" s="3">
        <v>28.294736842105262</v>
      </c>
      <c r="D8" s="3">
        <v>0</v>
      </c>
      <c r="E8" s="3">
        <v>2.1473684210526316</v>
      </c>
      <c r="F8" s="3">
        <v>10.736842105263158</v>
      </c>
      <c r="G8" s="3">
        <v>8.8631578947368421</v>
      </c>
      <c r="H8" s="3">
        <v>136.89473684210526</v>
      </c>
      <c r="I8" s="3">
        <v>27.263157894736842</v>
      </c>
      <c r="J8" s="3">
        <v>39.610526315789471</v>
      </c>
      <c r="K8" s="3">
        <v>44.526315789473685</v>
      </c>
      <c r="L8" s="3">
        <v>0.77894736842105261</v>
      </c>
      <c r="M8" s="3">
        <v>8.0210526315789465</v>
      </c>
    </row>
    <row r="9" spans="1:13" x14ac:dyDescent="0.3">
      <c r="A9" s="2" t="s">
        <v>212</v>
      </c>
      <c r="B9" s="3">
        <v>222.14285714285714</v>
      </c>
      <c r="C9" s="3">
        <v>11.428571428571429</v>
      </c>
      <c r="D9" s="3">
        <v>4.1428571428571432</v>
      </c>
      <c r="E9" s="3">
        <v>4</v>
      </c>
      <c r="F9" s="3">
        <v>5.1428571428571432</v>
      </c>
      <c r="G9" s="3">
        <v>4</v>
      </c>
      <c r="H9" s="3">
        <v>117.14285714285714</v>
      </c>
      <c r="I9" s="3">
        <v>15</v>
      </c>
      <c r="J9" s="3">
        <v>26.142857142857142</v>
      </c>
      <c r="K9" s="3">
        <v>34.857142857142854</v>
      </c>
      <c r="L9" s="3">
        <v>1</v>
      </c>
      <c r="M9" s="3">
        <v>7.3571428571428568</v>
      </c>
    </row>
    <row r="10" spans="1:13" x14ac:dyDescent="0.3">
      <c r="A10" s="2" t="s">
        <v>176</v>
      </c>
      <c r="B10" s="3">
        <v>270</v>
      </c>
      <c r="C10" s="3">
        <v>15</v>
      </c>
      <c r="D10" s="3">
        <v>28.333333333333332</v>
      </c>
      <c r="E10" s="3">
        <v>10.333333333333334</v>
      </c>
      <c r="F10" s="3">
        <v>146.66666666666666</v>
      </c>
      <c r="G10" s="3">
        <v>19.833333333333332</v>
      </c>
      <c r="H10" s="3">
        <v>588.33333333333337</v>
      </c>
      <c r="I10" s="3">
        <v>51.666666666666664</v>
      </c>
      <c r="J10" s="3">
        <v>6.833333333333333</v>
      </c>
      <c r="K10" s="3">
        <v>21.666666666666668</v>
      </c>
      <c r="L10" s="3">
        <v>4.5</v>
      </c>
      <c r="M10" s="3">
        <v>11.75</v>
      </c>
    </row>
    <row r="11" spans="1:13" x14ac:dyDescent="0.3">
      <c r="A11" s="2" t="s">
        <v>356</v>
      </c>
      <c r="B11" s="3">
        <v>531.42857142857144</v>
      </c>
      <c r="C11" s="3">
        <v>35.571428571428569</v>
      </c>
      <c r="D11" s="3">
        <v>6.9642857142857144</v>
      </c>
      <c r="E11" s="3">
        <v>3.9642857142857144</v>
      </c>
      <c r="F11" s="3">
        <v>18.75</v>
      </c>
      <c r="G11" s="3">
        <v>10.857142857142858</v>
      </c>
      <c r="H11" s="3">
        <v>183.57142857142858</v>
      </c>
      <c r="I11" s="3">
        <v>45</v>
      </c>
      <c r="J11" s="3">
        <v>77.892857142857139</v>
      </c>
      <c r="K11" s="3">
        <v>90.428571428571431</v>
      </c>
      <c r="L11" s="3">
        <v>1.4642857142857142</v>
      </c>
      <c r="M11" s="3">
        <v>14.125</v>
      </c>
    </row>
    <row r="12" spans="1:13" x14ac:dyDescent="0.3">
      <c r="A12" s="2" t="s">
        <v>187</v>
      </c>
      <c r="B12" s="3">
        <v>245.76923076923077</v>
      </c>
      <c r="C12" s="3">
        <v>6</v>
      </c>
      <c r="D12" s="3">
        <v>28.153846153846153</v>
      </c>
      <c r="E12" s="3">
        <v>6.615384615384615</v>
      </c>
      <c r="F12" s="3">
        <v>4.8461538461538458</v>
      </c>
      <c r="G12" s="3">
        <v>8.384615384615385</v>
      </c>
      <c r="H12" s="3">
        <v>395.76923076923077</v>
      </c>
      <c r="I12" s="3">
        <v>18.46153846153846</v>
      </c>
      <c r="J12" s="3">
        <v>4.0769230769230766</v>
      </c>
      <c r="K12" s="3">
        <v>29.153846153846153</v>
      </c>
      <c r="L12" s="3">
        <v>1.5384615384615385</v>
      </c>
      <c r="M12" s="3">
        <v>10.538461538461538</v>
      </c>
    </row>
    <row r="13" spans="1:13" x14ac:dyDescent="0.3">
      <c r="A13" s="2" t="s">
        <v>406</v>
      </c>
      <c r="B13" s="3">
        <v>368.26923076923077</v>
      </c>
      <c r="C13" s="3">
        <v>20.973076923076924</v>
      </c>
      <c r="D13" s="3">
        <v>8.5346153846153854</v>
      </c>
      <c r="E13" s="3">
        <v>7.7346153846153847</v>
      </c>
      <c r="F13" s="3">
        <v>13.426923076923076</v>
      </c>
      <c r="G13" s="3">
        <v>13.338461538461539</v>
      </c>
      <c r="H13" s="3">
        <v>495.75</v>
      </c>
      <c r="I13" s="3">
        <v>54.942307692307693</v>
      </c>
      <c r="J13" s="3">
        <v>29.423076923076923</v>
      </c>
      <c r="K13" s="3">
        <v>47.346153846153847</v>
      </c>
      <c r="L13" s="3">
        <v>1.6307692307692307</v>
      </c>
      <c r="M13" s="3">
        <v>14.165384615384616</v>
      </c>
    </row>
    <row r="15" spans="1:13" x14ac:dyDescent="0.3">
      <c r="B15" t="s">
        <v>419</v>
      </c>
    </row>
    <row r="16" spans="1:13" x14ac:dyDescent="0.3">
      <c r="B16" s="5" t="s">
        <v>420</v>
      </c>
    </row>
    <row r="17" spans="2:2" x14ac:dyDescent="0.3">
      <c r="B17" s="5" t="s">
        <v>421</v>
      </c>
    </row>
    <row r="18" spans="2:2" x14ac:dyDescent="0.3">
      <c r="B18" s="4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E6D1-7265-4D3F-B988-D7E67550E462}">
  <dimension ref="A1:M11"/>
  <sheetViews>
    <sheetView zoomScaleNormal="100" workbookViewId="0">
      <selection activeCell="E16" sqref="E16"/>
    </sheetView>
  </sheetViews>
  <sheetFormatPr defaultRowHeight="14.4" x14ac:dyDescent="0.3"/>
  <sheetData>
    <row r="1" spans="1:13" x14ac:dyDescent="0.3">
      <c r="A1" s="1" t="s">
        <v>405</v>
      </c>
      <c r="B1" s="1" t="s">
        <v>408</v>
      </c>
      <c r="C1" t="s">
        <v>407</v>
      </c>
      <c r="D1" t="s">
        <v>409</v>
      </c>
      <c r="E1" t="s">
        <v>410</v>
      </c>
      <c r="F1" t="s">
        <v>411</v>
      </c>
      <c r="G1" t="s">
        <v>412</v>
      </c>
      <c r="H1" t="s">
        <v>413</v>
      </c>
      <c r="I1" t="s">
        <v>414</v>
      </c>
      <c r="J1" t="s">
        <v>415</v>
      </c>
      <c r="K1" t="s">
        <v>416</v>
      </c>
      <c r="L1" t="s">
        <v>417</v>
      </c>
      <c r="M1" t="s">
        <v>418</v>
      </c>
    </row>
    <row r="2" spans="1:13" x14ac:dyDescent="0.3">
      <c r="A2" s="2" t="s">
        <v>96</v>
      </c>
      <c r="B2" s="3">
        <v>494</v>
      </c>
      <c r="C2" s="3">
        <v>23</v>
      </c>
      <c r="D2" s="3">
        <v>7.333333333333333</v>
      </c>
      <c r="E2" s="3">
        <v>23.333333333333332</v>
      </c>
      <c r="F2" s="3">
        <v>6.9333333333333336</v>
      </c>
      <c r="G2" s="3">
        <v>27.333333333333332</v>
      </c>
      <c r="H2" s="3">
        <v>1020.6666666666666</v>
      </c>
      <c r="I2" s="3">
        <v>87.333333333333329</v>
      </c>
      <c r="J2" s="3">
        <v>8.8000000000000007</v>
      </c>
      <c r="K2" s="3">
        <v>40.133333333333333</v>
      </c>
      <c r="L2" s="3">
        <v>2.5333333333333332</v>
      </c>
      <c r="M2" s="3">
        <v>24.866666666666667</v>
      </c>
    </row>
    <row r="3" spans="1:13" x14ac:dyDescent="0.3">
      <c r="A3" s="2" t="s">
        <v>225</v>
      </c>
      <c r="B3" s="3">
        <v>113.70370370370371</v>
      </c>
      <c r="C3" s="3">
        <v>2.9629629629629628</v>
      </c>
      <c r="D3" s="3">
        <v>23.481481481481481</v>
      </c>
      <c r="E3" s="3">
        <v>0.29629629629629628</v>
      </c>
      <c r="F3" s="3">
        <v>0.7407407407407407</v>
      </c>
      <c r="G3" s="3">
        <v>1.3333333333333333</v>
      </c>
      <c r="H3" s="3">
        <v>41.481481481481481</v>
      </c>
      <c r="I3" s="3">
        <v>0.55555555555555558</v>
      </c>
      <c r="J3" s="3">
        <v>27.851851851851851</v>
      </c>
      <c r="K3" s="3">
        <v>28.814814814814813</v>
      </c>
      <c r="L3" s="3">
        <v>3.7037037037037035E-2</v>
      </c>
      <c r="M3" s="3">
        <v>9.2592592592592587E-2</v>
      </c>
    </row>
    <row r="4" spans="1:13" x14ac:dyDescent="0.3">
      <c r="A4" s="2" t="s">
        <v>17</v>
      </c>
      <c r="B4" s="3">
        <v>526.66666666666663</v>
      </c>
      <c r="C4" s="3">
        <v>16.166666666666668</v>
      </c>
      <c r="D4" s="3">
        <v>8.9047619047619051</v>
      </c>
      <c r="E4" s="3">
        <v>17.142857142857142</v>
      </c>
      <c r="F4" s="3">
        <v>6.9285714285714288</v>
      </c>
      <c r="G4" s="3">
        <v>19.857142857142858</v>
      </c>
      <c r="H4" s="3">
        <v>1211.0714285714287</v>
      </c>
      <c r="I4" s="3">
        <v>152.85714285714286</v>
      </c>
      <c r="J4" s="3">
        <v>8.2619047619047628</v>
      </c>
      <c r="K4" s="3">
        <v>49.761904761904759</v>
      </c>
      <c r="L4" s="3">
        <v>3.2619047619047619</v>
      </c>
      <c r="M4" s="3">
        <v>27.69047619047619</v>
      </c>
    </row>
    <row r="5" spans="1:13" x14ac:dyDescent="0.3">
      <c r="A5" s="2" t="s">
        <v>124</v>
      </c>
      <c r="B5" s="3">
        <v>552.96296296296293</v>
      </c>
      <c r="C5" s="3">
        <v>15.444444444444445</v>
      </c>
      <c r="D5" s="3">
        <v>12.62962962962963</v>
      </c>
      <c r="E5" s="3">
        <v>16.37037037037037</v>
      </c>
      <c r="F5" s="3">
        <v>20.444444444444443</v>
      </c>
      <c r="G5" s="3">
        <v>29.111111111111111</v>
      </c>
      <c r="H5" s="3">
        <v>1257.7777777777778</v>
      </c>
      <c r="I5" s="3">
        <v>75.370370370370367</v>
      </c>
      <c r="J5" s="3">
        <v>7.333333333333333</v>
      </c>
      <c r="K5" s="3">
        <v>49.074074074074076</v>
      </c>
      <c r="L5" s="3">
        <v>2.925925925925926</v>
      </c>
      <c r="M5" s="3">
        <v>26.962962962962962</v>
      </c>
    </row>
    <row r="6" spans="1:13" x14ac:dyDescent="0.3">
      <c r="A6" s="2" t="s">
        <v>258</v>
      </c>
      <c r="B6" s="3">
        <v>283.89473684210526</v>
      </c>
      <c r="C6" s="3">
        <v>28.294736842105262</v>
      </c>
      <c r="D6" s="3">
        <v>0</v>
      </c>
      <c r="E6" s="3">
        <v>2.1473684210526316</v>
      </c>
      <c r="F6" s="3">
        <v>10.736842105263158</v>
      </c>
      <c r="G6" s="3">
        <v>8.8631578947368421</v>
      </c>
      <c r="H6" s="3">
        <v>136.89473684210526</v>
      </c>
      <c r="I6" s="3">
        <v>27.263157894736842</v>
      </c>
      <c r="J6" s="3">
        <v>39.610526315789471</v>
      </c>
      <c r="K6" s="3">
        <v>44.526315789473685</v>
      </c>
      <c r="L6" s="3">
        <v>0.77894736842105261</v>
      </c>
      <c r="M6" s="3">
        <v>8.0210526315789465</v>
      </c>
    </row>
    <row r="7" spans="1:13" x14ac:dyDescent="0.3">
      <c r="A7" s="2" t="s">
        <v>212</v>
      </c>
      <c r="B7" s="3">
        <v>222.14285714285714</v>
      </c>
      <c r="C7" s="3">
        <v>11.428571428571429</v>
      </c>
      <c r="D7" s="3">
        <v>4.1428571428571432</v>
      </c>
      <c r="E7" s="3">
        <v>4</v>
      </c>
      <c r="F7" s="3">
        <v>5.1428571428571432</v>
      </c>
      <c r="G7" s="3">
        <v>4</v>
      </c>
      <c r="H7" s="3">
        <v>117.14285714285714</v>
      </c>
      <c r="I7" s="3">
        <v>15</v>
      </c>
      <c r="J7" s="3">
        <v>26.142857142857142</v>
      </c>
      <c r="K7" s="3">
        <v>34.857142857142854</v>
      </c>
      <c r="L7" s="3">
        <v>1</v>
      </c>
      <c r="M7" s="3">
        <v>7.3571428571428568</v>
      </c>
    </row>
    <row r="8" spans="1:13" x14ac:dyDescent="0.3">
      <c r="A8" s="2" t="s">
        <v>176</v>
      </c>
      <c r="B8" s="3">
        <v>270</v>
      </c>
      <c r="C8" s="3">
        <v>15</v>
      </c>
      <c r="D8" s="3">
        <v>28.333333333333332</v>
      </c>
      <c r="E8" s="3">
        <v>10.333333333333334</v>
      </c>
      <c r="F8" s="3">
        <v>146.66666666666666</v>
      </c>
      <c r="G8" s="3">
        <v>19.833333333333332</v>
      </c>
      <c r="H8" s="3">
        <v>588.33333333333337</v>
      </c>
      <c r="I8" s="3">
        <v>51.666666666666664</v>
      </c>
      <c r="J8" s="3">
        <v>6.833333333333333</v>
      </c>
      <c r="K8" s="3">
        <v>21.666666666666668</v>
      </c>
      <c r="L8" s="3">
        <v>4.5</v>
      </c>
      <c r="M8" s="3">
        <v>11.75</v>
      </c>
    </row>
    <row r="9" spans="1:13" x14ac:dyDescent="0.3">
      <c r="A9" s="2" t="s">
        <v>356</v>
      </c>
      <c r="B9" s="3">
        <v>531.42857142857144</v>
      </c>
      <c r="C9" s="3">
        <v>35.571428571428569</v>
      </c>
      <c r="D9" s="3">
        <v>6.9642857142857144</v>
      </c>
      <c r="E9" s="3">
        <v>3.9642857142857144</v>
      </c>
      <c r="F9" s="3">
        <v>18.75</v>
      </c>
      <c r="G9" s="3">
        <v>10.857142857142858</v>
      </c>
      <c r="H9" s="3">
        <v>183.57142857142858</v>
      </c>
      <c r="I9" s="3">
        <v>45</v>
      </c>
      <c r="J9" s="3">
        <v>77.892857142857139</v>
      </c>
      <c r="K9" s="3">
        <v>90.428571428571431</v>
      </c>
      <c r="L9" s="3">
        <v>1.4642857142857142</v>
      </c>
      <c r="M9" s="3">
        <v>14.125</v>
      </c>
    </row>
    <row r="10" spans="1:13" x14ac:dyDescent="0.3">
      <c r="A10" s="2" t="s">
        <v>187</v>
      </c>
      <c r="B10" s="3">
        <v>245.76923076923077</v>
      </c>
      <c r="C10" s="3">
        <v>6</v>
      </c>
      <c r="D10" s="3">
        <v>28.153846153846153</v>
      </c>
      <c r="E10" s="3">
        <v>6.615384615384615</v>
      </c>
      <c r="F10" s="3">
        <v>4.8461538461538458</v>
      </c>
      <c r="G10" s="3">
        <v>8.384615384615385</v>
      </c>
      <c r="H10" s="3">
        <v>395.76923076923077</v>
      </c>
      <c r="I10" s="3">
        <v>18.46153846153846</v>
      </c>
      <c r="J10" s="3">
        <v>4.0769230769230766</v>
      </c>
      <c r="K10" s="3">
        <v>29.153846153846153</v>
      </c>
      <c r="L10" s="3">
        <v>1.5384615384615385</v>
      </c>
      <c r="M10" s="3">
        <v>10.538461538461538</v>
      </c>
    </row>
    <row r="11" spans="1:13" x14ac:dyDescent="0.3">
      <c r="A11" s="2" t="s">
        <v>406</v>
      </c>
      <c r="B11" s="3">
        <v>368.26923076923077</v>
      </c>
      <c r="C11" s="3">
        <v>20.973076923076924</v>
      </c>
      <c r="D11" s="3">
        <v>8.5346153846153854</v>
      </c>
      <c r="E11" s="3">
        <v>7.7346153846153847</v>
      </c>
      <c r="F11" s="3">
        <v>13.426923076923076</v>
      </c>
      <c r="G11" s="3">
        <v>13.338461538461539</v>
      </c>
      <c r="H11" s="3">
        <v>495.75</v>
      </c>
      <c r="I11" s="3">
        <v>54.942307692307693</v>
      </c>
      <c r="J11" s="3">
        <v>29.423076923076923</v>
      </c>
      <c r="K11" s="3">
        <v>47.346153846153847</v>
      </c>
      <c r="L11" s="3">
        <v>1.6307692307692307</v>
      </c>
      <c r="M11" s="3">
        <v>14.165384615384616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7F53-D278-4760-B1C5-A5066C565501}">
  <dimension ref="A1:L234"/>
  <sheetViews>
    <sheetView topLeftCell="C211" zoomScaleNormal="100" workbookViewId="0">
      <selection activeCell="A207" sqref="A207:L234"/>
    </sheetView>
  </sheetViews>
  <sheetFormatPr defaultRowHeight="14.4" x14ac:dyDescent="0.3"/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423</v>
      </c>
    </row>
    <row r="2" spans="1:12" x14ac:dyDescent="0.3">
      <c r="A2" s="3" t="s">
        <v>17</v>
      </c>
      <c r="B2" s="3" t="s">
        <v>18</v>
      </c>
      <c r="C2" s="3" t="s">
        <v>19</v>
      </c>
      <c r="D2" s="3">
        <v>300</v>
      </c>
      <c r="E2" s="3">
        <v>120</v>
      </c>
      <c r="F2" s="3">
        <v>13</v>
      </c>
      <c r="G2" s="3">
        <v>20</v>
      </c>
      <c r="H2" s="3">
        <v>5</v>
      </c>
      <c r="I2" s="3">
        <v>25</v>
      </c>
      <c r="J2" s="3">
        <v>0</v>
      </c>
      <c r="K2" s="3">
        <v>260</v>
      </c>
      <c r="L2">
        <f>IFERROR(VALUE(LEFT(C2,FIND(" ",C2)-1)), "")</f>
        <v>4.8</v>
      </c>
    </row>
    <row r="3" spans="1:12" x14ac:dyDescent="0.3">
      <c r="A3" s="3" t="s">
        <v>17</v>
      </c>
      <c r="B3" s="3" t="s">
        <v>20</v>
      </c>
      <c r="C3" s="3" t="s">
        <v>21</v>
      </c>
      <c r="D3" s="3">
        <v>250</v>
      </c>
      <c r="E3" s="3">
        <v>70</v>
      </c>
      <c r="F3" s="3">
        <v>8</v>
      </c>
      <c r="G3" s="3">
        <v>12</v>
      </c>
      <c r="H3" s="3">
        <v>3</v>
      </c>
      <c r="I3" s="3">
        <v>15</v>
      </c>
      <c r="J3" s="3">
        <v>0</v>
      </c>
      <c r="K3" s="3">
        <v>25</v>
      </c>
      <c r="L3">
        <f>IFERROR(VALUE(LEFT(C3,FIND(" ",C3)-1)), "")</f>
        <v>4.8</v>
      </c>
    </row>
    <row r="4" spans="1:12" x14ac:dyDescent="0.3">
      <c r="A4" s="3" t="s">
        <v>17</v>
      </c>
      <c r="B4" s="3" t="s">
        <v>22</v>
      </c>
      <c r="C4" s="3" t="s">
        <v>23</v>
      </c>
      <c r="D4" s="3">
        <v>370</v>
      </c>
      <c r="E4" s="3">
        <v>200</v>
      </c>
      <c r="F4" s="3">
        <v>23</v>
      </c>
      <c r="G4" s="3">
        <v>35</v>
      </c>
      <c r="H4" s="3">
        <v>8</v>
      </c>
      <c r="I4" s="3">
        <v>42</v>
      </c>
      <c r="J4" s="3">
        <v>0</v>
      </c>
      <c r="K4" s="3">
        <v>45</v>
      </c>
      <c r="L4">
        <f>IFERROR(VALUE(LEFT(C4,FIND(" ",C4)-1)), "")</f>
        <v>3.9</v>
      </c>
    </row>
    <row r="5" spans="1:12" x14ac:dyDescent="0.3">
      <c r="A5" s="3" t="s">
        <v>17</v>
      </c>
      <c r="B5" s="3" t="s">
        <v>24</v>
      </c>
      <c r="C5" s="3" t="s">
        <v>25</v>
      </c>
      <c r="D5" s="3">
        <v>450</v>
      </c>
      <c r="E5" s="3">
        <v>250</v>
      </c>
      <c r="F5" s="3">
        <v>28</v>
      </c>
      <c r="G5" s="3">
        <v>43</v>
      </c>
      <c r="H5" s="3">
        <v>10</v>
      </c>
      <c r="I5" s="3">
        <v>52</v>
      </c>
      <c r="J5" s="3">
        <v>0</v>
      </c>
      <c r="K5" s="3">
        <v>285</v>
      </c>
      <c r="L5">
        <f>IFERROR(VALUE(LEFT(C5,FIND(" ",C5)-1)), "")</f>
        <v>5.7</v>
      </c>
    </row>
    <row r="6" spans="1:12" x14ac:dyDescent="0.3">
      <c r="A6" s="3" t="s">
        <v>17</v>
      </c>
      <c r="B6" s="3" t="s">
        <v>26</v>
      </c>
      <c r="C6" s="3" t="s">
        <v>25</v>
      </c>
      <c r="D6" s="3">
        <v>400</v>
      </c>
      <c r="E6" s="3">
        <v>210</v>
      </c>
      <c r="F6" s="3">
        <v>23</v>
      </c>
      <c r="G6" s="3">
        <v>35</v>
      </c>
      <c r="H6" s="3">
        <v>8</v>
      </c>
      <c r="I6" s="3">
        <v>42</v>
      </c>
      <c r="J6" s="3">
        <v>0</v>
      </c>
      <c r="K6" s="3">
        <v>50</v>
      </c>
      <c r="L6">
        <f>IFERROR(VALUE(LEFT(C6,FIND(" ",C6)-1)), "")</f>
        <v>5.7</v>
      </c>
    </row>
    <row r="7" spans="1:12" x14ac:dyDescent="0.3">
      <c r="A7" s="3" t="s">
        <v>17</v>
      </c>
      <c r="B7" s="3" t="s">
        <v>27</v>
      </c>
      <c r="C7" s="3" t="s">
        <v>28</v>
      </c>
      <c r="D7" s="3">
        <v>430</v>
      </c>
      <c r="E7" s="3">
        <v>210</v>
      </c>
      <c r="F7" s="3">
        <v>23</v>
      </c>
      <c r="G7" s="3">
        <v>36</v>
      </c>
      <c r="H7" s="3">
        <v>9</v>
      </c>
      <c r="I7" s="3">
        <v>46</v>
      </c>
      <c r="J7" s="3">
        <v>1</v>
      </c>
      <c r="K7" s="3">
        <v>300</v>
      </c>
      <c r="L7">
        <f>IFERROR(VALUE(LEFT(C7,FIND(" ",C7)-1)), "")</f>
        <v>6.5</v>
      </c>
    </row>
    <row r="8" spans="1:12" x14ac:dyDescent="0.3">
      <c r="A8" s="3" t="s">
        <v>17</v>
      </c>
      <c r="B8" s="3" t="s">
        <v>29</v>
      </c>
      <c r="C8" s="3" t="s">
        <v>30</v>
      </c>
      <c r="D8" s="3">
        <v>460</v>
      </c>
      <c r="E8" s="3">
        <v>230</v>
      </c>
      <c r="F8" s="3">
        <v>26</v>
      </c>
      <c r="G8" s="3">
        <v>40</v>
      </c>
      <c r="H8" s="3">
        <v>13</v>
      </c>
      <c r="I8" s="3">
        <v>65</v>
      </c>
      <c r="J8" s="3">
        <v>0</v>
      </c>
      <c r="K8" s="3">
        <v>250</v>
      </c>
      <c r="L8">
        <f>IFERROR(VALUE(LEFT(C8,FIND(" ",C8)-1)), "")</f>
        <v>5.3</v>
      </c>
    </row>
    <row r="9" spans="1:12" x14ac:dyDescent="0.3">
      <c r="A9" s="3" t="s">
        <v>17</v>
      </c>
      <c r="B9" s="3" t="s">
        <v>31</v>
      </c>
      <c r="C9" s="3" t="s">
        <v>32</v>
      </c>
      <c r="D9" s="3">
        <v>520</v>
      </c>
      <c r="E9" s="3">
        <v>270</v>
      </c>
      <c r="F9" s="3">
        <v>30</v>
      </c>
      <c r="G9" s="3">
        <v>47</v>
      </c>
      <c r="H9" s="3">
        <v>14</v>
      </c>
      <c r="I9" s="3">
        <v>68</v>
      </c>
      <c r="J9" s="3">
        <v>0</v>
      </c>
      <c r="K9" s="3">
        <v>250</v>
      </c>
      <c r="L9">
        <f>IFERROR(VALUE(LEFT(C9,FIND(" ",C9)-1)), "")</f>
        <v>5.8</v>
      </c>
    </row>
    <row r="10" spans="1:12" x14ac:dyDescent="0.3">
      <c r="A10" s="3" t="s">
        <v>17</v>
      </c>
      <c r="B10" s="3" t="s">
        <v>33</v>
      </c>
      <c r="C10" s="3" t="s">
        <v>34</v>
      </c>
      <c r="D10" s="3">
        <v>410</v>
      </c>
      <c r="E10" s="3">
        <v>180</v>
      </c>
      <c r="F10" s="3">
        <v>20</v>
      </c>
      <c r="G10" s="3">
        <v>32</v>
      </c>
      <c r="H10" s="3">
        <v>11</v>
      </c>
      <c r="I10" s="3">
        <v>56</v>
      </c>
      <c r="J10" s="3">
        <v>0</v>
      </c>
      <c r="K10" s="3">
        <v>35</v>
      </c>
      <c r="L10">
        <f>IFERROR(VALUE(LEFT(C10,FIND(" ",C10)-1)), "")</f>
        <v>5.4</v>
      </c>
    </row>
    <row r="11" spans="1:12" x14ac:dyDescent="0.3">
      <c r="A11" s="3" t="s">
        <v>17</v>
      </c>
      <c r="B11" s="3" t="s">
        <v>35</v>
      </c>
      <c r="C11" s="3" t="s">
        <v>36</v>
      </c>
      <c r="D11" s="3">
        <v>470</v>
      </c>
      <c r="E11" s="3">
        <v>220</v>
      </c>
      <c r="F11" s="3">
        <v>25</v>
      </c>
      <c r="G11" s="3">
        <v>38</v>
      </c>
      <c r="H11" s="3">
        <v>12</v>
      </c>
      <c r="I11" s="3">
        <v>59</v>
      </c>
      <c r="J11" s="3">
        <v>0</v>
      </c>
      <c r="K11" s="3">
        <v>35</v>
      </c>
      <c r="L11">
        <f>IFERROR(VALUE(LEFT(C11,FIND(" ",C11)-1)), "")</f>
        <v>5.9</v>
      </c>
    </row>
    <row r="12" spans="1:12" x14ac:dyDescent="0.3">
      <c r="A12" s="3" t="s">
        <v>17</v>
      </c>
      <c r="B12" s="3" t="s">
        <v>37</v>
      </c>
      <c r="C12" s="3" t="s">
        <v>38</v>
      </c>
      <c r="D12" s="3">
        <v>430</v>
      </c>
      <c r="E12" s="3">
        <v>240</v>
      </c>
      <c r="F12" s="3">
        <v>27</v>
      </c>
      <c r="G12" s="3">
        <v>42</v>
      </c>
      <c r="H12" s="3">
        <v>12</v>
      </c>
      <c r="I12" s="3">
        <v>62</v>
      </c>
      <c r="J12" s="3">
        <v>0</v>
      </c>
      <c r="K12" s="3">
        <v>30</v>
      </c>
      <c r="L12">
        <f>IFERROR(VALUE(LEFT(C12,FIND(" ",C12)-1)), "")</f>
        <v>4.0999999999999996</v>
      </c>
    </row>
    <row r="13" spans="1:12" x14ac:dyDescent="0.3">
      <c r="A13" s="3" t="s">
        <v>17</v>
      </c>
      <c r="B13" s="3" t="s">
        <v>39</v>
      </c>
      <c r="C13" s="3" t="s">
        <v>40</v>
      </c>
      <c r="D13" s="3">
        <v>480</v>
      </c>
      <c r="E13" s="3">
        <v>280</v>
      </c>
      <c r="F13" s="3">
        <v>31</v>
      </c>
      <c r="G13" s="3">
        <v>48</v>
      </c>
      <c r="H13" s="3">
        <v>13</v>
      </c>
      <c r="I13" s="3">
        <v>65</v>
      </c>
      <c r="J13" s="3">
        <v>0</v>
      </c>
      <c r="K13" s="3">
        <v>30</v>
      </c>
      <c r="L13">
        <f>IFERROR(VALUE(LEFT(C13,FIND(" ",C13)-1)), "")</f>
        <v>4.5999999999999996</v>
      </c>
    </row>
    <row r="14" spans="1:12" x14ac:dyDescent="0.3">
      <c r="A14" s="3" t="s">
        <v>17</v>
      </c>
      <c r="B14" s="3" t="s">
        <v>41</v>
      </c>
      <c r="C14" s="3" t="s">
        <v>42</v>
      </c>
      <c r="D14" s="3">
        <v>510</v>
      </c>
      <c r="E14" s="3">
        <v>290</v>
      </c>
      <c r="F14" s="3">
        <v>33</v>
      </c>
      <c r="G14" s="3">
        <v>50</v>
      </c>
      <c r="H14" s="3">
        <v>14</v>
      </c>
      <c r="I14" s="3">
        <v>71</v>
      </c>
      <c r="J14" s="3">
        <v>0</v>
      </c>
      <c r="K14" s="3">
        <v>250</v>
      </c>
      <c r="L14">
        <f>IFERROR(VALUE(LEFT(C14,FIND(" ",C14)-1)), "")</f>
        <v>5.7</v>
      </c>
    </row>
    <row r="15" spans="1:12" x14ac:dyDescent="0.3">
      <c r="A15" s="3" t="s">
        <v>17</v>
      </c>
      <c r="B15" s="3" t="s">
        <v>43</v>
      </c>
      <c r="C15" s="3" t="s">
        <v>44</v>
      </c>
      <c r="D15" s="3">
        <v>570</v>
      </c>
      <c r="E15" s="3">
        <v>330</v>
      </c>
      <c r="F15" s="3">
        <v>37</v>
      </c>
      <c r="G15" s="3">
        <v>57</v>
      </c>
      <c r="H15" s="3">
        <v>15</v>
      </c>
      <c r="I15" s="3">
        <v>74</v>
      </c>
      <c r="J15" s="3">
        <v>0</v>
      </c>
      <c r="K15" s="3">
        <v>250</v>
      </c>
      <c r="L15">
        <f>IFERROR(VALUE(LEFT(C15,FIND(" ",C15)-1)), "")</f>
        <v>6.2</v>
      </c>
    </row>
    <row r="16" spans="1:12" x14ac:dyDescent="0.3">
      <c r="A16" s="3" t="s">
        <v>17</v>
      </c>
      <c r="B16" s="3" t="s">
        <v>45</v>
      </c>
      <c r="C16" s="3" t="s">
        <v>36</v>
      </c>
      <c r="D16" s="3">
        <v>460</v>
      </c>
      <c r="E16" s="3">
        <v>250</v>
      </c>
      <c r="F16" s="3">
        <v>27</v>
      </c>
      <c r="G16" s="3">
        <v>42</v>
      </c>
      <c r="H16" s="3">
        <v>12</v>
      </c>
      <c r="I16" s="3">
        <v>62</v>
      </c>
      <c r="J16" s="3">
        <v>0</v>
      </c>
      <c r="K16" s="3">
        <v>35</v>
      </c>
      <c r="L16">
        <f>IFERROR(VALUE(LEFT(C16,FIND(" ",C16)-1)), "")</f>
        <v>5.9</v>
      </c>
    </row>
    <row r="17" spans="1:12" x14ac:dyDescent="0.3">
      <c r="A17" s="3" t="s">
        <v>17</v>
      </c>
      <c r="B17" s="3" t="s">
        <v>46</v>
      </c>
      <c r="C17" s="3" t="s">
        <v>47</v>
      </c>
      <c r="D17" s="3">
        <v>520</v>
      </c>
      <c r="E17" s="3">
        <v>280</v>
      </c>
      <c r="F17" s="3">
        <v>32</v>
      </c>
      <c r="G17" s="3">
        <v>49</v>
      </c>
      <c r="H17" s="3">
        <v>13</v>
      </c>
      <c r="I17" s="3">
        <v>65</v>
      </c>
      <c r="J17" s="3">
        <v>0</v>
      </c>
      <c r="K17" s="3">
        <v>35</v>
      </c>
      <c r="L17">
        <f>IFERROR(VALUE(LEFT(C17,FIND(" ",C17)-1)), "")</f>
        <v>6.4</v>
      </c>
    </row>
    <row r="18" spans="1:12" x14ac:dyDescent="0.3">
      <c r="A18" s="3" t="s">
        <v>17</v>
      </c>
      <c r="B18" s="3" t="s">
        <v>48</v>
      </c>
      <c r="C18" s="3" t="s">
        <v>49</v>
      </c>
      <c r="D18" s="3">
        <v>410</v>
      </c>
      <c r="E18" s="3">
        <v>180</v>
      </c>
      <c r="F18" s="3">
        <v>20</v>
      </c>
      <c r="G18" s="3">
        <v>31</v>
      </c>
      <c r="H18" s="3">
        <v>8</v>
      </c>
      <c r="I18" s="3">
        <v>41</v>
      </c>
      <c r="J18" s="3">
        <v>0</v>
      </c>
      <c r="K18" s="3">
        <v>30</v>
      </c>
      <c r="L18">
        <f>IFERROR(VALUE(LEFT(C18,FIND(" ",C18)-1)), "")</f>
        <v>5</v>
      </c>
    </row>
    <row r="19" spans="1:12" x14ac:dyDescent="0.3">
      <c r="A19" s="3" t="s">
        <v>17</v>
      </c>
      <c r="B19" s="3" t="s">
        <v>50</v>
      </c>
      <c r="C19" s="3" t="s">
        <v>51</v>
      </c>
      <c r="D19" s="3">
        <v>470</v>
      </c>
      <c r="E19" s="3">
        <v>220</v>
      </c>
      <c r="F19" s="3">
        <v>24</v>
      </c>
      <c r="G19" s="3">
        <v>37</v>
      </c>
      <c r="H19" s="3">
        <v>9</v>
      </c>
      <c r="I19" s="3">
        <v>45</v>
      </c>
      <c r="J19" s="3">
        <v>0</v>
      </c>
      <c r="K19" s="3">
        <v>30</v>
      </c>
      <c r="L19">
        <f>IFERROR(VALUE(LEFT(C19,FIND(" ",C19)-1)), "")</f>
        <v>5.5</v>
      </c>
    </row>
    <row r="20" spans="1:12" x14ac:dyDescent="0.3">
      <c r="A20" s="3" t="s">
        <v>17</v>
      </c>
      <c r="B20" s="3" t="s">
        <v>52</v>
      </c>
      <c r="C20" s="3" t="s">
        <v>53</v>
      </c>
      <c r="D20" s="3">
        <v>540</v>
      </c>
      <c r="E20" s="3">
        <v>290</v>
      </c>
      <c r="F20" s="3">
        <v>32</v>
      </c>
      <c r="G20" s="3">
        <v>49</v>
      </c>
      <c r="H20" s="3">
        <v>16</v>
      </c>
      <c r="I20" s="3">
        <v>78</v>
      </c>
      <c r="J20" s="3">
        <v>1</v>
      </c>
      <c r="K20" s="3">
        <v>280</v>
      </c>
      <c r="L20">
        <f>IFERROR(VALUE(LEFT(C20,FIND(" ",C20)-1)), "")</f>
        <v>7.1</v>
      </c>
    </row>
    <row r="21" spans="1:12" x14ac:dyDescent="0.3">
      <c r="A21" s="3" t="s">
        <v>17</v>
      </c>
      <c r="B21" s="3" t="s">
        <v>54</v>
      </c>
      <c r="C21" s="3" t="s">
        <v>55</v>
      </c>
      <c r="D21" s="3">
        <v>460</v>
      </c>
      <c r="E21" s="3">
        <v>190</v>
      </c>
      <c r="F21" s="3">
        <v>21</v>
      </c>
      <c r="G21" s="3">
        <v>32</v>
      </c>
      <c r="H21" s="3">
        <v>9</v>
      </c>
      <c r="I21" s="3">
        <v>44</v>
      </c>
      <c r="J21" s="3">
        <v>0</v>
      </c>
      <c r="K21" s="3">
        <v>250</v>
      </c>
      <c r="L21">
        <f>IFERROR(VALUE(LEFT(C21,FIND(" ",C21)-1)), "")</f>
        <v>6.1</v>
      </c>
    </row>
    <row r="22" spans="1:12" x14ac:dyDescent="0.3">
      <c r="A22" s="3" t="s">
        <v>17</v>
      </c>
      <c r="B22" s="3" t="s">
        <v>56</v>
      </c>
      <c r="C22" s="3" t="s">
        <v>57</v>
      </c>
      <c r="D22" s="3">
        <v>400</v>
      </c>
      <c r="E22" s="3">
        <v>140</v>
      </c>
      <c r="F22" s="3">
        <v>15</v>
      </c>
      <c r="G22" s="3">
        <v>24</v>
      </c>
      <c r="H22" s="3">
        <v>7</v>
      </c>
      <c r="I22" s="3">
        <v>34</v>
      </c>
      <c r="J22" s="3">
        <v>0</v>
      </c>
      <c r="K22" s="3">
        <v>35</v>
      </c>
      <c r="L22">
        <f>IFERROR(VALUE(LEFT(C22,FIND(" ",C22)-1)), "")</f>
        <v>6.3</v>
      </c>
    </row>
    <row r="23" spans="1:12" x14ac:dyDescent="0.3">
      <c r="A23" s="3" t="s">
        <v>17</v>
      </c>
      <c r="B23" s="3" t="s">
        <v>58</v>
      </c>
      <c r="C23" s="3" t="s">
        <v>59</v>
      </c>
      <c r="D23" s="3">
        <v>420</v>
      </c>
      <c r="E23" s="3">
        <v>200</v>
      </c>
      <c r="F23" s="3">
        <v>22</v>
      </c>
      <c r="G23" s="3">
        <v>34</v>
      </c>
      <c r="H23" s="3">
        <v>8</v>
      </c>
      <c r="I23" s="3">
        <v>40</v>
      </c>
      <c r="J23" s="3">
        <v>0</v>
      </c>
      <c r="K23" s="3">
        <v>35</v>
      </c>
      <c r="L23">
        <f>IFERROR(VALUE(LEFT(C23,FIND(" ",C23)-1)), "")</f>
        <v>5</v>
      </c>
    </row>
    <row r="24" spans="1:12" x14ac:dyDescent="0.3">
      <c r="A24" s="3" t="s">
        <v>17</v>
      </c>
      <c r="B24" s="3" t="s">
        <v>60</v>
      </c>
      <c r="C24" s="3" t="s">
        <v>53</v>
      </c>
      <c r="D24" s="3">
        <v>550</v>
      </c>
      <c r="E24" s="3">
        <v>280</v>
      </c>
      <c r="F24" s="3">
        <v>31</v>
      </c>
      <c r="G24" s="3">
        <v>48</v>
      </c>
      <c r="H24" s="3">
        <v>12</v>
      </c>
      <c r="I24" s="3">
        <v>61</v>
      </c>
      <c r="J24" s="3">
        <v>0</v>
      </c>
      <c r="K24" s="3">
        <v>265</v>
      </c>
      <c r="L24">
        <f>IFERROR(VALUE(LEFT(C24,FIND(" ",C24)-1)), "")</f>
        <v>7.1</v>
      </c>
    </row>
    <row r="25" spans="1:12" x14ac:dyDescent="0.3">
      <c r="A25" s="3" t="s">
        <v>17</v>
      </c>
      <c r="B25" s="3" t="s">
        <v>61</v>
      </c>
      <c r="C25" s="3" t="s">
        <v>62</v>
      </c>
      <c r="D25" s="3">
        <v>500</v>
      </c>
      <c r="E25" s="3">
        <v>230</v>
      </c>
      <c r="F25" s="3">
        <v>26</v>
      </c>
      <c r="G25" s="3">
        <v>40</v>
      </c>
      <c r="H25" s="3">
        <v>10</v>
      </c>
      <c r="I25" s="3">
        <v>52</v>
      </c>
      <c r="J25" s="3">
        <v>0</v>
      </c>
      <c r="K25" s="3">
        <v>50</v>
      </c>
      <c r="L25">
        <f>IFERROR(VALUE(LEFT(C25,FIND(" ",C25)-1)), "")</f>
        <v>7.2</v>
      </c>
    </row>
    <row r="26" spans="1:12" x14ac:dyDescent="0.3">
      <c r="A26" s="3" t="s">
        <v>17</v>
      </c>
      <c r="B26" s="3" t="s">
        <v>63</v>
      </c>
      <c r="C26" s="3" t="s">
        <v>64</v>
      </c>
      <c r="D26" s="3">
        <v>620</v>
      </c>
      <c r="E26" s="3">
        <v>280</v>
      </c>
      <c r="F26" s="3">
        <v>31</v>
      </c>
      <c r="G26" s="3">
        <v>48</v>
      </c>
      <c r="H26" s="3">
        <v>11</v>
      </c>
      <c r="I26" s="3">
        <v>56</v>
      </c>
      <c r="J26" s="3">
        <v>0.5</v>
      </c>
      <c r="K26" s="3">
        <v>275</v>
      </c>
      <c r="L26">
        <f>IFERROR(VALUE(LEFT(C26,FIND(" ",C26)-1)), "")</f>
        <v>6.9</v>
      </c>
    </row>
    <row r="27" spans="1:12" x14ac:dyDescent="0.3">
      <c r="A27" s="3" t="s">
        <v>17</v>
      </c>
      <c r="B27" s="3" t="s">
        <v>65</v>
      </c>
      <c r="C27" s="3" t="s">
        <v>53</v>
      </c>
      <c r="D27" s="3">
        <v>570</v>
      </c>
      <c r="E27" s="3">
        <v>230</v>
      </c>
      <c r="F27" s="3">
        <v>25</v>
      </c>
      <c r="G27" s="3">
        <v>39</v>
      </c>
      <c r="H27" s="3">
        <v>9</v>
      </c>
      <c r="I27" s="3">
        <v>45</v>
      </c>
      <c r="J27" s="3">
        <v>0.5</v>
      </c>
      <c r="K27" s="3">
        <v>60</v>
      </c>
      <c r="L27">
        <f>IFERROR(VALUE(LEFT(C27,FIND(" ",C27)-1)), "")</f>
        <v>7.1</v>
      </c>
    </row>
    <row r="28" spans="1:12" x14ac:dyDescent="0.3">
      <c r="A28" s="3" t="s">
        <v>17</v>
      </c>
      <c r="B28" s="3" t="s">
        <v>66</v>
      </c>
      <c r="C28" s="3" t="s">
        <v>67</v>
      </c>
      <c r="D28" s="3">
        <v>670</v>
      </c>
      <c r="E28" s="3">
        <v>310</v>
      </c>
      <c r="F28" s="3">
        <v>35</v>
      </c>
      <c r="G28" s="3">
        <v>53</v>
      </c>
      <c r="H28" s="3">
        <v>13</v>
      </c>
      <c r="I28" s="3">
        <v>63</v>
      </c>
      <c r="J28" s="3">
        <v>1.5</v>
      </c>
      <c r="K28" s="3">
        <v>295</v>
      </c>
      <c r="L28">
        <f>IFERROR(VALUE(LEFT(C28,FIND(" ",C28)-1)), "")</f>
        <v>8.5</v>
      </c>
    </row>
    <row r="29" spans="1:12" x14ac:dyDescent="0.3">
      <c r="A29" s="3" t="s">
        <v>17</v>
      </c>
      <c r="B29" s="3" t="s">
        <v>68</v>
      </c>
      <c r="C29" s="3" t="s">
        <v>69</v>
      </c>
      <c r="D29" s="3">
        <v>740</v>
      </c>
      <c r="E29" s="3">
        <v>430</v>
      </c>
      <c r="F29" s="3">
        <v>48</v>
      </c>
      <c r="G29" s="3">
        <v>73</v>
      </c>
      <c r="H29" s="3">
        <v>17</v>
      </c>
      <c r="I29" s="3">
        <v>87</v>
      </c>
      <c r="J29" s="3">
        <v>0</v>
      </c>
      <c r="K29" s="3">
        <v>555</v>
      </c>
      <c r="L29">
        <f>IFERROR(VALUE(LEFT(C29,FIND(" ",C29)-1)), "")</f>
        <v>9.5</v>
      </c>
    </row>
    <row r="30" spans="1:12" x14ac:dyDescent="0.3">
      <c r="A30" s="3" t="s">
        <v>17</v>
      </c>
      <c r="B30" s="3" t="s">
        <v>70</v>
      </c>
      <c r="C30" s="3" t="s">
        <v>71</v>
      </c>
      <c r="D30" s="3">
        <v>800</v>
      </c>
      <c r="E30" s="3">
        <v>470</v>
      </c>
      <c r="F30" s="3">
        <v>52</v>
      </c>
      <c r="G30" s="3">
        <v>80</v>
      </c>
      <c r="H30" s="3">
        <v>18</v>
      </c>
      <c r="I30" s="3">
        <v>90</v>
      </c>
      <c r="J30" s="3">
        <v>0</v>
      </c>
      <c r="K30" s="3">
        <v>555</v>
      </c>
      <c r="L30">
        <f>IFERROR(VALUE(LEFT(C30,FIND(" ",C30)-1)), "")</f>
        <v>10</v>
      </c>
    </row>
    <row r="31" spans="1:12" x14ac:dyDescent="0.3">
      <c r="A31" s="3" t="s">
        <v>17</v>
      </c>
      <c r="B31" s="3" t="s">
        <v>72</v>
      </c>
      <c r="C31" s="3" t="s">
        <v>73</v>
      </c>
      <c r="D31" s="3">
        <v>640</v>
      </c>
      <c r="E31" s="3">
        <v>330</v>
      </c>
      <c r="F31" s="3">
        <v>37</v>
      </c>
      <c r="G31" s="3">
        <v>57</v>
      </c>
      <c r="H31" s="3">
        <v>14</v>
      </c>
      <c r="I31" s="3">
        <v>69</v>
      </c>
      <c r="J31" s="3">
        <v>0</v>
      </c>
      <c r="K31" s="3">
        <v>35</v>
      </c>
      <c r="L31">
        <f>IFERROR(VALUE(LEFT(C31,FIND(" ",C31)-1)), "")</f>
        <v>9.6</v>
      </c>
    </row>
    <row r="32" spans="1:12" x14ac:dyDescent="0.3">
      <c r="A32" s="3" t="s">
        <v>17</v>
      </c>
      <c r="B32" s="3" t="s">
        <v>74</v>
      </c>
      <c r="C32" s="3" t="s">
        <v>75</v>
      </c>
      <c r="D32" s="3">
        <v>690</v>
      </c>
      <c r="E32" s="3">
        <v>370</v>
      </c>
      <c r="F32" s="3">
        <v>41</v>
      </c>
      <c r="G32" s="3">
        <v>63</v>
      </c>
      <c r="H32" s="3">
        <v>14</v>
      </c>
      <c r="I32" s="3">
        <v>72</v>
      </c>
      <c r="J32" s="3">
        <v>0</v>
      </c>
      <c r="K32" s="3">
        <v>35</v>
      </c>
      <c r="L32">
        <f>IFERROR(VALUE(LEFT(C32,FIND(" ",C32)-1)), "")</f>
        <v>10.1</v>
      </c>
    </row>
    <row r="33" spans="1:12" x14ac:dyDescent="0.3">
      <c r="A33" s="3" t="s">
        <v>17</v>
      </c>
      <c r="B33" s="3" t="s">
        <v>76</v>
      </c>
      <c r="C33" s="3" t="s">
        <v>77</v>
      </c>
      <c r="D33" s="3">
        <v>1090</v>
      </c>
      <c r="E33" s="3">
        <v>510</v>
      </c>
      <c r="F33" s="3">
        <v>56</v>
      </c>
      <c r="G33" s="3">
        <v>87</v>
      </c>
      <c r="H33" s="3">
        <v>19</v>
      </c>
      <c r="I33" s="3">
        <v>96</v>
      </c>
      <c r="J33" s="3">
        <v>0</v>
      </c>
      <c r="K33" s="3">
        <v>575</v>
      </c>
      <c r="L33">
        <f>IFERROR(VALUE(LEFT(C33,FIND(" ",C33)-1)), "")</f>
        <v>14.8</v>
      </c>
    </row>
    <row r="34" spans="1:12" x14ac:dyDescent="0.3">
      <c r="A34" s="3" t="s">
        <v>17</v>
      </c>
      <c r="B34" s="3" t="s">
        <v>78</v>
      </c>
      <c r="C34" s="3" t="s">
        <v>79</v>
      </c>
      <c r="D34" s="3">
        <v>1150</v>
      </c>
      <c r="E34" s="3">
        <v>540</v>
      </c>
      <c r="F34" s="3">
        <v>60</v>
      </c>
      <c r="G34" s="3">
        <v>93</v>
      </c>
      <c r="H34" s="3">
        <v>20</v>
      </c>
      <c r="I34" s="3">
        <v>100</v>
      </c>
      <c r="J34" s="3">
        <v>0</v>
      </c>
      <c r="K34" s="3">
        <v>575</v>
      </c>
      <c r="L34">
        <f>IFERROR(VALUE(LEFT(C34,FIND(" ",C34)-1)), "")</f>
        <v>15.3</v>
      </c>
    </row>
    <row r="35" spans="1:12" x14ac:dyDescent="0.3">
      <c r="A35" s="3" t="s">
        <v>17</v>
      </c>
      <c r="B35" s="3" t="s">
        <v>80</v>
      </c>
      <c r="C35" s="3" t="s">
        <v>81</v>
      </c>
      <c r="D35" s="3">
        <v>990</v>
      </c>
      <c r="E35" s="3">
        <v>410</v>
      </c>
      <c r="F35" s="3">
        <v>46</v>
      </c>
      <c r="G35" s="3">
        <v>70</v>
      </c>
      <c r="H35" s="3">
        <v>16</v>
      </c>
      <c r="I35" s="3">
        <v>78</v>
      </c>
      <c r="J35" s="3">
        <v>0</v>
      </c>
      <c r="K35" s="3">
        <v>55</v>
      </c>
      <c r="L35">
        <f>IFERROR(VALUE(LEFT(C35,FIND(" ",C35)-1)), "")</f>
        <v>14.9</v>
      </c>
    </row>
    <row r="36" spans="1:12" x14ac:dyDescent="0.3">
      <c r="A36" s="3" t="s">
        <v>17</v>
      </c>
      <c r="B36" s="3" t="s">
        <v>82</v>
      </c>
      <c r="C36" s="3" t="s">
        <v>83</v>
      </c>
      <c r="D36" s="3">
        <v>1050</v>
      </c>
      <c r="E36" s="3">
        <v>450</v>
      </c>
      <c r="F36" s="3">
        <v>50</v>
      </c>
      <c r="G36" s="3">
        <v>77</v>
      </c>
      <c r="H36" s="3">
        <v>16</v>
      </c>
      <c r="I36" s="3">
        <v>81</v>
      </c>
      <c r="J36" s="3">
        <v>0</v>
      </c>
      <c r="K36" s="3">
        <v>55</v>
      </c>
      <c r="L36">
        <f>IFERROR(VALUE(LEFT(C36,FIND(" ",C36)-1)), "")</f>
        <v>15.4</v>
      </c>
    </row>
    <row r="37" spans="1:12" x14ac:dyDescent="0.3">
      <c r="A37" s="3" t="s">
        <v>17</v>
      </c>
      <c r="B37" s="3" t="s">
        <v>84</v>
      </c>
      <c r="C37" s="3" t="s">
        <v>85</v>
      </c>
      <c r="D37" s="3">
        <v>350</v>
      </c>
      <c r="E37" s="3">
        <v>80</v>
      </c>
      <c r="F37" s="3">
        <v>9</v>
      </c>
      <c r="G37" s="3">
        <v>13</v>
      </c>
      <c r="H37" s="3">
        <v>2</v>
      </c>
      <c r="I37" s="3">
        <v>9</v>
      </c>
      <c r="J37" s="3">
        <v>0</v>
      </c>
      <c r="K37" s="3">
        <v>20</v>
      </c>
      <c r="L37">
        <f>IFERROR(VALUE(LEFT(C37,FIND(" ",C37)-1)), "")</f>
        <v>5.3</v>
      </c>
    </row>
    <row r="38" spans="1:12" x14ac:dyDescent="0.3">
      <c r="A38" s="3" t="s">
        <v>17</v>
      </c>
      <c r="B38" s="3" t="s">
        <v>86</v>
      </c>
      <c r="C38" s="3" t="s">
        <v>87</v>
      </c>
      <c r="D38" s="3">
        <v>520</v>
      </c>
      <c r="E38" s="3">
        <v>210</v>
      </c>
      <c r="F38" s="3">
        <v>24</v>
      </c>
      <c r="G38" s="3">
        <v>37</v>
      </c>
      <c r="H38" s="3">
        <v>7</v>
      </c>
      <c r="I38" s="3">
        <v>36</v>
      </c>
      <c r="J38" s="3">
        <v>0</v>
      </c>
      <c r="K38" s="3">
        <v>50</v>
      </c>
      <c r="L38">
        <f>IFERROR(VALUE(LEFT(C38,FIND(" ",C38)-1)), "")</f>
        <v>6.8</v>
      </c>
    </row>
    <row r="39" spans="1:12" x14ac:dyDescent="0.3">
      <c r="A39" s="3" t="s">
        <v>17</v>
      </c>
      <c r="B39" s="3" t="s">
        <v>88</v>
      </c>
      <c r="C39" s="3" t="s">
        <v>23</v>
      </c>
      <c r="D39" s="3">
        <v>300</v>
      </c>
      <c r="E39" s="3">
        <v>150</v>
      </c>
      <c r="F39" s="3">
        <v>16</v>
      </c>
      <c r="G39" s="3">
        <v>25</v>
      </c>
      <c r="H39" s="3">
        <v>7</v>
      </c>
      <c r="I39" s="3">
        <v>33</v>
      </c>
      <c r="J39" s="3">
        <v>0</v>
      </c>
      <c r="K39" s="3">
        <v>115</v>
      </c>
      <c r="L39">
        <f>IFERROR(VALUE(LEFT(C39,FIND(" ",C39)-1)), "")</f>
        <v>3.9</v>
      </c>
    </row>
    <row r="40" spans="1:12" x14ac:dyDescent="0.3">
      <c r="A40" s="3" t="s">
        <v>17</v>
      </c>
      <c r="B40" s="3" t="s">
        <v>89</v>
      </c>
      <c r="C40" s="3" t="s">
        <v>90</v>
      </c>
      <c r="D40" s="3">
        <v>150</v>
      </c>
      <c r="E40" s="3">
        <v>80</v>
      </c>
      <c r="F40" s="3">
        <v>9</v>
      </c>
      <c r="G40" s="3">
        <v>14</v>
      </c>
      <c r="H40" s="3">
        <v>1.5</v>
      </c>
      <c r="I40" s="3">
        <v>6</v>
      </c>
      <c r="J40" s="3">
        <v>0</v>
      </c>
      <c r="K40" s="3">
        <v>0</v>
      </c>
      <c r="L40">
        <f>IFERROR(VALUE(LEFT(C40,FIND(" ",C40)-1)), "")</f>
        <v>2</v>
      </c>
    </row>
    <row r="41" spans="1:12" x14ac:dyDescent="0.3">
      <c r="A41" s="3" t="s">
        <v>17</v>
      </c>
      <c r="B41" s="3" t="s">
        <v>91</v>
      </c>
      <c r="C41" s="3" t="s">
        <v>92</v>
      </c>
      <c r="D41" s="3">
        <v>460</v>
      </c>
      <c r="E41" s="3">
        <v>170</v>
      </c>
      <c r="F41" s="3">
        <v>19</v>
      </c>
      <c r="G41" s="3">
        <v>30</v>
      </c>
      <c r="H41" s="3">
        <v>9</v>
      </c>
      <c r="I41" s="3">
        <v>43</v>
      </c>
      <c r="J41" s="3">
        <v>0</v>
      </c>
      <c r="K41" s="3">
        <v>15</v>
      </c>
      <c r="L41">
        <f>IFERROR(VALUE(LEFT(C41,FIND(" ",C41)-1)), "")</f>
        <v>4</v>
      </c>
    </row>
    <row r="42" spans="1:12" x14ac:dyDescent="0.3">
      <c r="A42" s="3" t="s">
        <v>17</v>
      </c>
      <c r="B42" s="3" t="s">
        <v>93</v>
      </c>
      <c r="C42" s="3" t="s">
        <v>94</v>
      </c>
      <c r="D42" s="3">
        <v>290</v>
      </c>
      <c r="E42" s="3">
        <v>35</v>
      </c>
      <c r="F42" s="3">
        <v>4</v>
      </c>
      <c r="G42" s="3">
        <v>6</v>
      </c>
      <c r="H42" s="3">
        <v>1.5</v>
      </c>
      <c r="I42" s="3">
        <v>8</v>
      </c>
      <c r="J42" s="3">
        <v>0</v>
      </c>
      <c r="K42" s="3">
        <v>5</v>
      </c>
      <c r="L42">
        <f>IFERROR(VALUE(LEFT(C42,FIND(" ",C42)-1)), "")</f>
        <v>9.6</v>
      </c>
    </row>
    <row r="43" spans="1:12" x14ac:dyDescent="0.3">
      <c r="A43" s="3" t="s">
        <v>17</v>
      </c>
      <c r="B43" s="3" t="s">
        <v>95</v>
      </c>
      <c r="C43" s="3" t="s">
        <v>94</v>
      </c>
      <c r="D43" s="3">
        <v>260</v>
      </c>
      <c r="E43" s="3">
        <v>40</v>
      </c>
      <c r="F43" s="3">
        <v>4</v>
      </c>
      <c r="G43" s="3">
        <v>6</v>
      </c>
      <c r="H43" s="3">
        <v>1.5</v>
      </c>
      <c r="I43" s="3">
        <v>8</v>
      </c>
      <c r="J43" s="3">
        <v>0</v>
      </c>
      <c r="K43" s="3">
        <v>5</v>
      </c>
      <c r="L43">
        <f>IFERROR(VALUE(LEFT(C43,FIND(" ",C43)-1)), "")</f>
        <v>9.6</v>
      </c>
    </row>
    <row r="44" spans="1:12" x14ac:dyDescent="0.3">
      <c r="A44" s="3" t="s">
        <v>96</v>
      </c>
      <c r="B44" s="3" t="s">
        <v>97</v>
      </c>
      <c r="C44" s="3" t="s">
        <v>98</v>
      </c>
      <c r="D44" s="3">
        <v>530</v>
      </c>
      <c r="E44" s="3">
        <v>240</v>
      </c>
      <c r="F44" s="3">
        <v>27</v>
      </c>
      <c r="G44" s="3">
        <v>42</v>
      </c>
      <c r="H44" s="3">
        <v>10</v>
      </c>
      <c r="I44" s="3">
        <v>48</v>
      </c>
      <c r="J44" s="3">
        <v>1</v>
      </c>
      <c r="K44" s="3">
        <v>85</v>
      </c>
      <c r="L44">
        <f>IFERROR(VALUE(LEFT(C44,FIND(" ",C44)-1)), "")</f>
        <v>7.4</v>
      </c>
    </row>
    <row r="45" spans="1:12" x14ac:dyDescent="0.3">
      <c r="A45" s="3" t="s">
        <v>96</v>
      </c>
      <c r="B45" s="3" t="s">
        <v>99</v>
      </c>
      <c r="C45" s="3" t="s">
        <v>100</v>
      </c>
      <c r="D45" s="3">
        <v>520</v>
      </c>
      <c r="E45" s="3">
        <v>240</v>
      </c>
      <c r="F45" s="3">
        <v>26</v>
      </c>
      <c r="G45" s="3">
        <v>41</v>
      </c>
      <c r="H45" s="3">
        <v>12</v>
      </c>
      <c r="I45" s="3">
        <v>61</v>
      </c>
      <c r="J45" s="3">
        <v>1.5</v>
      </c>
      <c r="K45" s="3">
        <v>95</v>
      </c>
      <c r="L45">
        <f>IFERROR(VALUE(LEFT(C45,FIND(" ",C45)-1)), "")</f>
        <v>7.1</v>
      </c>
    </row>
    <row r="46" spans="1:12" x14ac:dyDescent="0.3">
      <c r="A46" s="3" t="s">
        <v>96</v>
      </c>
      <c r="B46" s="3" t="s">
        <v>101</v>
      </c>
      <c r="C46" s="3" t="s">
        <v>102</v>
      </c>
      <c r="D46" s="3">
        <v>600</v>
      </c>
      <c r="E46" s="3">
        <v>260</v>
      </c>
      <c r="F46" s="3">
        <v>29</v>
      </c>
      <c r="G46" s="3">
        <v>45</v>
      </c>
      <c r="H46" s="3">
        <v>13</v>
      </c>
      <c r="I46" s="3">
        <v>63</v>
      </c>
      <c r="J46" s="3">
        <v>1.5</v>
      </c>
      <c r="K46" s="3">
        <v>105</v>
      </c>
      <c r="L46">
        <f>IFERROR(VALUE(LEFT(C46,FIND(" ",C46)-1)), "")</f>
        <v>8</v>
      </c>
    </row>
    <row r="47" spans="1:12" x14ac:dyDescent="0.3">
      <c r="A47" s="3" t="s">
        <v>96</v>
      </c>
      <c r="B47" s="3" t="s">
        <v>103</v>
      </c>
      <c r="C47" s="3" t="s">
        <v>104</v>
      </c>
      <c r="D47" s="3">
        <v>610</v>
      </c>
      <c r="E47" s="3">
        <v>280</v>
      </c>
      <c r="F47" s="3">
        <v>31</v>
      </c>
      <c r="G47" s="3">
        <v>48</v>
      </c>
      <c r="H47" s="3">
        <v>13</v>
      </c>
      <c r="I47" s="3">
        <v>64</v>
      </c>
      <c r="J47" s="3">
        <v>1.5</v>
      </c>
      <c r="K47" s="3">
        <v>105</v>
      </c>
      <c r="L47">
        <f>IFERROR(VALUE(LEFT(C47,FIND(" ",C47)-1)), "")</f>
        <v>8.3000000000000007</v>
      </c>
    </row>
    <row r="48" spans="1:12" x14ac:dyDescent="0.3">
      <c r="A48" s="3" t="s">
        <v>96</v>
      </c>
      <c r="B48" s="3" t="s">
        <v>105</v>
      </c>
      <c r="C48" s="3" t="s">
        <v>106</v>
      </c>
      <c r="D48" s="3">
        <v>540</v>
      </c>
      <c r="E48" s="3">
        <v>250</v>
      </c>
      <c r="F48" s="3">
        <v>27</v>
      </c>
      <c r="G48" s="3">
        <v>42</v>
      </c>
      <c r="H48" s="3">
        <v>11</v>
      </c>
      <c r="I48" s="3">
        <v>54</v>
      </c>
      <c r="J48" s="3">
        <v>1.5</v>
      </c>
      <c r="K48" s="3">
        <v>85</v>
      </c>
      <c r="L48">
        <f>IFERROR(VALUE(LEFT(C48,FIND(" ",C48)-1)), "")</f>
        <v>8.6</v>
      </c>
    </row>
    <row r="49" spans="1:12" x14ac:dyDescent="0.3">
      <c r="A49" s="3" t="s">
        <v>96</v>
      </c>
      <c r="B49" s="3" t="s">
        <v>107</v>
      </c>
      <c r="C49" s="3" t="s">
        <v>71</v>
      </c>
      <c r="D49" s="3">
        <v>750</v>
      </c>
      <c r="E49" s="3">
        <v>380</v>
      </c>
      <c r="F49" s="3">
        <v>43</v>
      </c>
      <c r="G49" s="3">
        <v>66</v>
      </c>
      <c r="H49" s="3">
        <v>19</v>
      </c>
      <c r="I49" s="3">
        <v>96</v>
      </c>
      <c r="J49" s="3">
        <v>2.5</v>
      </c>
      <c r="K49" s="3">
        <v>160</v>
      </c>
      <c r="L49">
        <f>IFERROR(VALUE(LEFT(C49,FIND(" ",C49)-1)), "")</f>
        <v>10</v>
      </c>
    </row>
    <row r="50" spans="1:12" x14ac:dyDescent="0.3">
      <c r="A50" s="3" t="s">
        <v>96</v>
      </c>
      <c r="B50" s="3" t="s">
        <v>108</v>
      </c>
      <c r="C50" s="3" t="s">
        <v>109</v>
      </c>
      <c r="D50" s="3">
        <v>240</v>
      </c>
      <c r="E50" s="3">
        <v>70</v>
      </c>
      <c r="F50" s="3">
        <v>8</v>
      </c>
      <c r="G50" s="3">
        <v>12</v>
      </c>
      <c r="H50" s="3">
        <v>3</v>
      </c>
      <c r="I50" s="3">
        <v>15</v>
      </c>
      <c r="J50" s="3">
        <v>0</v>
      </c>
      <c r="K50" s="3">
        <v>30</v>
      </c>
      <c r="L50">
        <f>IFERROR(VALUE(LEFT(C50,FIND(" ",C50)-1)), "")</f>
        <v>3.5</v>
      </c>
    </row>
    <row r="51" spans="1:12" x14ac:dyDescent="0.3">
      <c r="A51" s="3" t="s">
        <v>96</v>
      </c>
      <c r="B51" s="3" t="s">
        <v>110</v>
      </c>
      <c r="C51" s="3" t="s">
        <v>111</v>
      </c>
      <c r="D51" s="3">
        <v>290</v>
      </c>
      <c r="E51" s="3">
        <v>100</v>
      </c>
      <c r="F51" s="3">
        <v>11</v>
      </c>
      <c r="G51" s="3">
        <v>18</v>
      </c>
      <c r="H51" s="3">
        <v>5</v>
      </c>
      <c r="I51" s="3">
        <v>27</v>
      </c>
      <c r="J51" s="3">
        <v>0.5</v>
      </c>
      <c r="K51" s="3">
        <v>45</v>
      </c>
      <c r="L51">
        <f>IFERROR(VALUE(LEFT(C51,FIND(" ",C51)-1)), "")</f>
        <v>4</v>
      </c>
    </row>
    <row r="52" spans="1:12" x14ac:dyDescent="0.3">
      <c r="A52" s="3" t="s">
        <v>96</v>
      </c>
      <c r="B52" s="3" t="s">
        <v>112</v>
      </c>
      <c r="C52" s="3" t="s">
        <v>25</v>
      </c>
      <c r="D52" s="3">
        <v>430</v>
      </c>
      <c r="E52" s="3">
        <v>190</v>
      </c>
      <c r="F52" s="3">
        <v>21</v>
      </c>
      <c r="G52" s="3">
        <v>32</v>
      </c>
      <c r="H52" s="3">
        <v>10</v>
      </c>
      <c r="I52" s="3">
        <v>52</v>
      </c>
      <c r="J52" s="3">
        <v>1</v>
      </c>
      <c r="K52" s="3">
        <v>90</v>
      </c>
      <c r="L52">
        <f>IFERROR(VALUE(LEFT(C52,FIND(" ",C52)-1)), "")</f>
        <v>5.7</v>
      </c>
    </row>
    <row r="53" spans="1:12" x14ac:dyDescent="0.3">
      <c r="A53" s="3" t="s">
        <v>96</v>
      </c>
      <c r="B53" s="3" t="s">
        <v>113</v>
      </c>
      <c r="C53" s="3" t="s">
        <v>114</v>
      </c>
      <c r="D53" s="3">
        <v>720</v>
      </c>
      <c r="E53" s="3">
        <v>360</v>
      </c>
      <c r="F53" s="3">
        <v>40</v>
      </c>
      <c r="G53" s="3">
        <v>62</v>
      </c>
      <c r="H53" s="3">
        <v>15</v>
      </c>
      <c r="I53" s="3">
        <v>75</v>
      </c>
      <c r="J53" s="3">
        <v>1.5</v>
      </c>
      <c r="K53" s="3">
        <v>115</v>
      </c>
      <c r="L53">
        <f>IFERROR(VALUE(LEFT(C53,FIND(" ",C53)-1)), "")</f>
        <v>9.5</v>
      </c>
    </row>
    <row r="54" spans="1:12" x14ac:dyDescent="0.3">
      <c r="A54" s="3" t="s">
        <v>96</v>
      </c>
      <c r="B54" s="3" t="s">
        <v>115</v>
      </c>
      <c r="C54" s="3" t="s">
        <v>116</v>
      </c>
      <c r="D54" s="3">
        <v>380</v>
      </c>
      <c r="E54" s="3">
        <v>150</v>
      </c>
      <c r="F54" s="3">
        <v>17</v>
      </c>
      <c r="G54" s="3">
        <v>26</v>
      </c>
      <c r="H54" s="3">
        <v>8</v>
      </c>
      <c r="I54" s="3">
        <v>40</v>
      </c>
      <c r="J54" s="3">
        <v>1</v>
      </c>
      <c r="K54" s="3">
        <v>75</v>
      </c>
      <c r="L54">
        <f>IFERROR(VALUE(LEFT(C54,FIND(" ",C54)-1)), "")</f>
        <v>5.2</v>
      </c>
    </row>
    <row r="55" spans="1:12" x14ac:dyDescent="0.3">
      <c r="A55" s="3" t="s">
        <v>96</v>
      </c>
      <c r="B55" s="3" t="s">
        <v>117</v>
      </c>
      <c r="C55" s="3" t="s">
        <v>25</v>
      </c>
      <c r="D55" s="3">
        <v>440</v>
      </c>
      <c r="E55" s="3">
        <v>200</v>
      </c>
      <c r="F55" s="3">
        <v>22</v>
      </c>
      <c r="G55" s="3">
        <v>34</v>
      </c>
      <c r="H55" s="3">
        <v>10</v>
      </c>
      <c r="I55" s="3">
        <v>49</v>
      </c>
      <c r="J55" s="3">
        <v>1</v>
      </c>
      <c r="K55" s="3">
        <v>90</v>
      </c>
      <c r="L55">
        <f>IFERROR(VALUE(LEFT(C55,FIND(" ",C55)-1)), "")</f>
        <v>5.7</v>
      </c>
    </row>
    <row r="56" spans="1:12" x14ac:dyDescent="0.3">
      <c r="A56" s="3" t="s">
        <v>96</v>
      </c>
      <c r="B56" s="3" t="s">
        <v>118</v>
      </c>
      <c r="C56" s="3" t="s">
        <v>119</v>
      </c>
      <c r="D56" s="3">
        <v>430</v>
      </c>
      <c r="E56" s="3">
        <v>200</v>
      </c>
      <c r="F56" s="3">
        <v>22</v>
      </c>
      <c r="G56" s="3">
        <v>35</v>
      </c>
      <c r="H56" s="3">
        <v>9</v>
      </c>
      <c r="I56" s="3">
        <v>44</v>
      </c>
      <c r="J56" s="3">
        <v>1</v>
      </c>
      <c r="K56" s="3">
        <v>80</v>
      </c>
      <c r="L56">
        <f>IFERROR(VALUE(LEFT(C56,FIND(" ",C56)-1)), "")</f>
        <v>6.7</v>
      </c>
    </row>
    <row r="57" spans="1:12" x14ac:dyDescent="0.3">
      <c r="A57" s="3" t="s">
        <v>96</v>
      </c>
      <c r="B57" s="3" t="s">
        <v>120</v>
      </c>
      <c r="C57" s="3" t="s">
        <v>121</v>
      </c>
      <c r="D57" s="3">
        <v>430</v>
      </c>
      <c r="E57" s="3">
        <v>210</v>
      </c>
      <c r="F57" s="3">
        <v>23</v>
      </c>
      <c r="G57" s="3">
        <v>36</v>
      </c>
      <c r="H57" s="3">
        <v>9</v>
      </c>
      <c r="I57" s="3">
        <v>44</v>
      </c>
      <c r="J57" s="3">
        <v>1</v>
      </c>
      <c r="K57" s="3">
        <v>80</v>
      </c>
      <c r="L57">
        <f>IFERROR(VALUE(LEFT(C57,FIND(" ",C57)-1)), "")</f>
        <v>5.6</v>
      </c>
    </row>
    <row r="58" spans="1:12" x14ac:dyDescent="0.3">
      <c r="A58" s="3" t="s">
        <v>96</v>
      </c>
      <c r="B58" s="3" t="s">
        <v>122</v>
      </c>
      <c r="C58" s="3" t="s">
        <v>123</v>
      </c>
      <c r="D58" s="3">
        <v>500</v>
      </c>
      <c r="E58" s="3">
        <v>240</v>
      </c>
      <c r="F58" s="3">
        <v>26</v>
      </c>
      <c r="G58" s="3">
        <v>40</v>
      </c>
      <c r="H58" s="3">
        <v>10</v>
      </c>
      <c r="I58" s="3">
        <v>48</v>
      </c>
      <c r="J58" s="3">
        <v>0</v>
      </c>
      <c r="K58" s="3">
        <v>70</v>
      </c>
      <c r="L58">
        <f>IFERROR(VALUE(LEFT(C58,FIND(" ",C58)-1)), "")</f>
        <v>7.3</v>
      </c>
    </row>
    <row r="59" spans="1:12" x14ac:dyDescent="0.3">
      <c r="A59" s="3" t="s">
        <v>124</v>
      </c>
      <c r="B59" s="3" t="s">
        <v>125</v>
      </c>
      <c r="C59" s="3" t="s">
        <v>126</v>
      </c>
      <c r="D59" s="3">
        <v>510</v>
      </c>
      <c r="E59" s="3">
        <v>200</v>
      </c>
      <c r="F59" s="3">
        <v>22</v>
      </c>
      <c r="G59" s="3">
        <v>33</v>
      </c>
      <c r="H59" s="3">
        <v>3.5</v>
      </c>
      <c r="I59" s="3">
        <v>18</v>
      </c>
      <c r="J59" s="3">
        <v>0</v>
      </c>
      <c r="K59" s="3">
        <v>45</v>
      </c>
      <c r="L59">
        <f>IFERROR(VALUE(LEFT(C59,FIND(" ",C59)-1)), "")</f>
        <v>7.5</v>
      </c>
    </row>
    <row r="60" spans="1:12" x14ac:dyDescent="0.3">
      <c r="A60" s="3" t="s">
        <v>124</v>
      </c>
      <c r="B60" s="3" t="s">
        <v>127</v>
      </c>
      <c r="C60" s="3" t="s">
        <v>128</v>
      </c>
      <c r="D60" s="3">
        <v>350</v>
      </c>
      <c r="E60" s="3">
        <v>80</v>
      </c>
      <c r="F60" s="3">
        <v>9</v>
      </c>
      <c r="G60" s="3">
        <v>13</v>
      </c>
      <c r="H60" s="3">
        <v>2</v>
      </c>
      <c r="I60" s="3">
        <v>9</v>
      </c>
      <c r="J60" s="3">
        <v>0</v>
      </c>
      <c r="K60" s="3">
        <v>65</v>
      </c>
      <c r="L60">
        <f>IFERROR(VALUE(LEFT(C60,FIND(" ",C60)-1)), "")</f>
        <v>7</v>
      </c>
    </row>
    <row r="61" spans="1:12" x14ac:dyDescent="0.3">
      <c r="A61" s="3" t="s">
        <v>124</v>
      </c>
      <c r="B61" s="3" t="s">
        <v>129</v>
      </c>
      <c r="C61" s="3" t="s">
        <v>130</v>
      </c>
      <c r="D61" s="3">
        <v>670</v>
      </c>
      <c r="E61" s="3">
        <v>300</v>
      </c>
      <c r="F61" s="3">
        <v>33</v>
      </c>
      <c r="G61" s="3">
        <v>51</v>
      </c>
      <c r="H61" s="3">
        <v>9</v>
      </c>
      <c r="I61" s="3">
        <v>44</v>
      </c>
      <c r="J61" s="3">
        <v>0</v>
      </c>
      <c r="K61" s="3">
        <v>85</v>
      </c>
      <c r="L61">
        <f>IFERROR(VALUE(LEFT(C61,FIND(" ",C61)-1)), "")</f>
        <v>8.8000000000000007</v>
      </c>
    </row>
    <row r="62" spans="1:12" x14ac:dyDescent="0.3">
      <c r="A62" s="3" t="s">
        <v>124</v>
      </c>
      <c r="B62" s="3" t="s">
        <v>131</v>
      </c>
      <c r="C62" s="3" t="s">
        <v>104</v>
      </c>
      <c r="D62" s="3">
        <v>510</v>
      </c>
      <c r="E62" s="3">
        <v>180</v>
      </c>
      <c r="F62" s="3">
        <v>20</v>
      </c>
      <c r="G62" s="3">
        <v>31</v>
      </c>
      <c r="H62" s="3">
        <v>7</v>
      </c>
      <c r="I62" s="3">
        <v>36</v>
      </c>
      <c r="J62" s="3">
        <v>0</v>
      </c>
      <c r="K62" s="3">
        <v>105</v>
      </c>
      <c r="L62">
        <f>IFERROR(VALUE(LEFT(C62,FIND(" ",C62)-1)), "")</f>
        <v>8.3000000000000007</v>
      </c>
    </row>
    <row r="63" spans="1:12" x14ac:dyDescent="0.3">
      <c r="A63" s="3" t="s">
        <v>124</v>
      </c>
      <c r="B63" s="3" t="s">
        <v>132</v>
      </c>
      <c r="C63" s="3" t="s">
        <v>133</v>
      </c>
      <c r="D63" s="3">
        <v>610</v>
      </c>
      <c r="E63" s="3">
        <v>250</v>
      </c>
      <c r="F63" s="3">
        <v>28</v>
      </c>
      <c r="G63" s="3">
        <v>43</v>
      </c>
      <c r="H63" s="3">
        <v>6</v>
      </c>
      <c r="I63" s="3">
        <v>31</v>
      </c>
      <c r="J63" s="3">
        <v>0</v>
      </c>
      <c r="K63" s="3">
        <v>70</v>
      </c>
      <c r="L63">
        <f>IFERROR(VALUE(LEFT(C63,FIND(" ",C63)-1)), "")</f>
        <v>8.1</v>
      </c>
    </row>
    <row r="64" spans="1:12" x14ac:dyDescent="0.3">
      <c r="A64" s="3" t="s">
        <v>124</v>
      </c>
      <c r="B64" s="3" t="s">
        <v>134</v>
      </c>
      <c r="C64" s="3" t="s">
        <v>135</v>
      </c>
      <c r="D64" s="3">
        <v>450</v>
      </c>
      <c r="E64" s="3">
        <v>130</v>
      </c>
      <c r="F64" s="3">
        <v>15</v>
      </c>
      <c r="G64" s="3">
        <v>23</v>
      </c>
      <c r="H64" s="3">
        <v>4.5</v>
      </c>
      <c r="I64" s="3">
        <v>22</v>
      </c>
      <c r="J64" s="3">
        <v>0</v>
      </c>
      <c r="K64" s="3">
        <v>90</v>
      </c>
      <c r="L64">
        <f>IFERROR(VALUE(LEFT(C64,FIND(" ",C64)-1)), "")</f>
        <v>7.6</v>
      </c>
    </row>
    <row r="65" spans="1:12" x14ac:dyDescent="0.3">
      <c r="A65" s="3" t="s">
        <v>124</v>
      </c>
      <c r="B65" s="3" t="s">
        <v>136</v>
      </c>
      <c r="C65" s="3" t="s">
        <v>137</v>
      </c>
      <c r="D65" s="3">
        <v>750</v>
      </c>
      <c r="E65" s="3">
        <v>340</v>
      </c>
      <c r="F65" s="3">
        <v>38</v>
      </c>
      <c r="G65" s="3">
        <v>59</v>
      </c>
      <c r="H65" s="3">
        <v>10</v>
      </c>
      <c r="I65" s="3">
        <v>51</v>
      </c>
      <c r="J65" s="3">
        <v>0.5</v>
      </c>
      <c r="K65" s="3">
        <v>90</v>
      </c>
      <c r="L65">
        <f>IFERROR(VALUE(LEFT(C65,FIND(" ",C65)-1)), "")</f>
        <v>10</v>
      </c>
    </row>
    <row r="66" spans="1:12" x14ac:dyDescent="0.3">
      <c r="A66" s="3" t="s">
        <v>124</v>
      </c>
      <c r="B66" s="3" t="s">
        <v>138</v>
      </c>
      <c r="C66" s="3" t="s">
        <v>114</v>
      </c>
      <c r="D66" s="3">
        <v>590</v>
      </c>
      <c r="E66" s="3">
        <v>230</v>
      </c>
      <c r="F66" s="3">
        <v>25</v>
      </c>
      <c r="G66" s="3">
        <v>39</v>
      </c>
      <c r="H66" s="3">
        <v>8</v>
      </c>
      <c r="I66" s="3">
        <v>42</v>
      </c>
      <c r="J66" s="3">
        <v>0</v>
      </c>
      <c r="K66" s="3">
        <v>110</v>
      </c>
      <c r="L66">
        <f>IFERROR(VALUE(LEFT(C66,FIND(" ",C66)-1)), "")</f>
        <v>9.5</v>
      </c>
    </row>
    <row r="67" spans="1:12" x14ac:dyDescent="0.3">
      <c r="A67" s="3" t="s">
        <v>124</v>
      </c>
      <c r="B67" s="3" t="s">
        <v>139</v>
      </c>
      <c r="C67" s="3" t="s">
        <v>140</v>
      </c>
      <c r="D67" s="3">
        <v>430</v>
      </c>
      <c r="E67" s="3">
        <v>170</v>
      </c>
      <c r="F67" s="3">
        <v>19</v>
      </c>
      <c r="G67" s="3">
        <v>29</v>
      </c>
      <c r="H67" s="3">
        <v>3</v>
      </c>
      <c r="I67" s="3">
        <v>15</v>
      </c>
      <c r="J67" s="3">
        <v>0</v>
      </c>
      <c r="K67" s="3">
        <v>45</v>
      </c>
      <c r="L67">
        <f>IFERROR(VALUE(LEFT(C67,FIND(" ",C67)-1)), "")</f>
        <v>5.6</v>
      </c>
    </row>
    <row r="68" spans="1:12" x14ac:dyDescent="0.3">
      <c r="A68" s="3" t="s">
        <v>124</v>
      </c>
      <c r="B68" s="3" t="s">
        <v>141</v>
      </c>
      <c r="C68" s="3" t="s">
        <v>142</v>
      </c>
      <c r="D68" s="3">
        <v>360</v>
      </c>
      <c r="E68" s="3">
        <v>140</v>
      </c>
      <c r="F68" s="3">
        <v>16</v>
      </c>
      <c r="G68" s="3">
        <v>25</v>
      </c>
      <c r="H68" s="3">
        <v>3</v>
      </c>
      <c r="I68" s="3">
        <v>15</v>
      </c>
      <c r="J68" s="3">
        <v>0</v>
      </c>
      <c r="K68" s="3">
        <v>35</v>
      </c>
      <c r="L68">
        <f>IFERROR(VALUE(LEFT(C68,FIND(" ",C68)-1)), "")</f>
        <v>5.0999999999999996</v>
      </c>
    </row>
    <row r="69" spans="1:12" x14ac:dyDescent="0.3">
      <c r="A69" s="3" t="s">
        <v>124</v>
      </c>
      <c r="B69" s="3" t="s">
        <v>143</v>
      </c>
      <c r="C69" s="3" t="s">
        <v>144</v>
      </c>
      <c r="D69" s="3">
        <v>480</v>
      </c>
      <c r="E69" s="3">
        <v>220</v>
      </c>
      <c r="F69" s="3">
        <v>24</v>
      </c>
      <c r="G69" s="3">
        <v>38</v>
      </c>
      <c r="H69" s="3">
        <v>7</v>
      </c>
      <c r="I69" s="3">
        <v>35</v>
      </c>
      <c r="J69" s="3">
        <v>0</v>
      </c>
      <c r="K69" s="3">
        <v>65</v>
      </c>
      <c r="L69">
        <f>IFERROR(VALUE(LEFT(C69,FIND(" ",C69)-1)), "")</f>
        <v>6</v>
      </c>
    </row>
    <row r="70" spans="1:12" x14ac:dyDescent="0.3">
      <c r="A70" s="3" t="s">
        <v>124</v>
      </c>
      <c r="B70" s="3" t="s">
        <v>145</v>
      </c>
      <c r="C70" s="3" t="s">
        <v>25</v>
      </c>
      <c r="D70" s="3">
        <v>430</v>
      </c>
      <c r="E70" s="3">
        <v>190</v>
      </c>
      <c r="F70" s="3">
        <v>21</v>
      </c>
      <c r="G70" s="3">
        <v>32</v>
      </c>
      <c r="H70" s="3">
        <v>5</v>
      </c>
      <c r="I70" s="3">
        <v>25</v>
      </c>
      <c r="J70" s="3">
        <v>0</v>
      </c>
      <c r="K70" s="3">
        <v>50</v>
      </c>
      <c r="L70">
        <f>IFERROR(VALUE(LEFT(C70,FIND(" ",C70)-1)), "")</f>
        <v>5.7</v>
      </c>
    </row>
    <row r="71" spans="1:12" x14ac:dyDescent="0.3">
      <c r="A71" s="3" t="s">
        <v>124</v>
      </c>
      <c r="B71" s="3" t="s">
        <v>146</v>
      </c>
      <c r="C71" s="3" t="s">
        <v>147</v>
      </c>
      <c r="D71" s="3">
        <v>360</v>
      </c>
      <c r="E71" s="3">
        <v>150</v>
      </c>
      <c r="F71" s="3">
        <v>16</v>
      </c>
      <c r="G71" s="3">
        <v>25</v>
      </c>
      <c r="H71" s="3">
        <v>3</v>
      </c>
      <c r="I71" s="3">
        <v>16</v>
      </c>
      <c r="J71" s="3">
        <v>0</v>
      </c>
      <c r="K71" s="3">
        <v>35</v>
      </c>
      <c r="L71">
        <f>IFERROR(VALUE(LEFT(C71,FIND(" ",C71)-1)), "")</f>
        <v>5.2</v>
      </c>
    </row>
    <row r="72" spans="1:12" x14ac:dyDescent="0.3">
      <c r="A72" s="3" t="s">
        <v>124</v>
      </c>
      <c r="B72" s="3" t="s">
        <v>148</v>
      </c>
      <c r="C72" s="3" t="s">
        <v>149</v>
      </c>
      <c r="D72" s="3">
        <v>630</v>
      </c>
      <c r="E72" s="3">
        <v>280</v>
      </c>
      <c r="F72" s="3">
        <v>32</v>
      </c>
      <c r="G72" s="3">
        <v>49</v>
      </c>
      <c r="H72" s="3">
        <v>9</v>
      </c>
      <c r="I72" s="3">
        <v>45</v>
      </c>
      <c r="J72" s="3">
        <v>0.5</v>
      </c>
      <c r="K72" s="3">
        <v>80</v>
      </c>
      <c r="L72">
        <f>IFERROR(VALUE(LEFT(C72,FIND(" ",C72)-1)), "")</f>
        <v>11.1</v>
      </c>
    </row>
    <row r="73" spans="1:12" x14ac:dyDescent="0.3">
      <c r="A73" s="3" t="s">
        <v>124</v>
      </c>
      <c r="B73" s="3" t="s">
        <v>150</v>
      </c>
      <c r="C73" s="3" t="s">
        <v>151</v>
      </c>
      <c r="D73" s="3">
        <v>480</v>
      </c>
      <c r="E73" s="3">
        <v>170</v>
      </c>
      <c r="F73" s="3">
        <v>19</v>
      </c>
      <c r="G73" s="3">
        <v>28</v>
      </c>
      <c r="H73" s="3">
        <v>7</v>
      </c>
      <c r="I73" s="3">
        <v>36</v>
      </c>
      <c r="J73" s="3">
        <v>0</v>
      </c>
      <c r="K73" s="3">
        <v>95</v>
      </c>
      <c r="L73">
        <f>IFERROR(VALUE(LEFT(C73,FIND(" ",C73)-1)), "")</f>
        <v>10.7</v>
      </c>
    </row>
    <row r="74" spans="1:12" x14ac:dyDescent="0.3">
      <c r="A74" s="3" t="s">
        <v>124</v>
      </c>
      <c r="B74" s="3" t="s">
        <v>152</v>
      </c>
      <c r="C74" s="3" t="s">
        <v>153</v>
      </c>
      <c r="D74" s="3">
        <v>610</v>
      </c>
      <c r="E74" s="3">
        <v>280</v>
      </c>
      <c r="F74" s="3">
        <v>31</v>
      </c>
      <c r="G74" s="3">
        <v>47</v>
      </c>
      <c r="H74" s="3">
        <v>8</v>
      </c>
      <c r="I74" s="3">
        <v>40</v>
      </c>
      <c r="J74" s="3">
        <v>0.5</v>
      </c>
      <c r="K74" s="3">
        <v>65</v>
      </c>
      <c r="L74">
        <f>IFERROR(VALUE(LEFT(C74,FIND(" ",C74)-1)), "")</f>
        <v>10.9</v>
      </c>
    </row>
    <row r="75" spans="1:12" x14ac:dyDescent="0.3">
      <c r="A75" s="3" t="s">
        <v>124</v>
      </c>
      <c r="B75" s="3" t="s">
        <v>154</v>
      </c>
      <c r="C75" s="3" t="s">
        <v>155</v>
      </c>
      <c r="D75" s="3">
        <v>450</v>
      </c>
      <c r="E75" s="3">
        <v>160</v>
      </c>
      <c r="F75" s="3">
        <v>18</v>
      </c>
      <c r="G75" s="3">
        <v>27</v>
      </c>
      <c r="H75" s="3">
        <v>6</v>
      </c>
      <c r="I75" s="3">
        <v>31</v>
      </c>
      <c r="J75" s="3">
        <v>0.5</v>
      </c>
      <c r="K75" s="3">
        <v>80</v>
      </c>
      <c r="L75">
        <f>IFERROR(VALUE(LEFT(C75,FIND(" ",C75)-1)), "")</f>
        <v>10.5</v>
      </c>
    </row>
    <row r="76" spans="1:12" x14ac:dyDescent="0.3">
      <c r="A76" s="3" t="s">
        <v>124</v>
      </c>
      <c r="B76" s="3" t="s">
        <v>156</v>
      </c>
      <c r="C76" s="3" t="s">
        <v>157</v>
      </c>
      <c r="D76" s="3">
        <v>670</v>
      </c>
      <c r="E76" s="3">
        <v>300</v>
      </c>
      <c r="F76" s="3">
        <v>33</v>
      </c>
      <c r="G76" s="3">
        <v>51</v>
      </c>
      <c r="H76" s="3">
        <v>8</v>
      </c>
      <c r="I76" s="3">
        <v>40</v>
      </c>
      <c r="J76" s="3">
        <v>0.5</v>
      </c>
      <c r="K76" s="3">
        <v>60</v>
      </c>
      <c r="L76">
        <f>IFERROR(VALUE(LEFT(C76,FIND(" ",C76)-1)), "")</f>
        <v>11.1</v>
      </c>
    </row>
    <row r="77" spans="1:12" x14ac:dyDescent="0.3">
      <c r="A77" s="3" t="s">
        <v>124</v>
      </c>
      <c r="B77" s="3" t="s">
        <v>158</v>
      </c>
      <c r="C77" s="3" t="s">
        <v>159</v>
      </c>
      <c r="D77" s="3">
        <v>520</v>
      </c>
      <c r="E77" s="3">
        <v>180</v>
      </c>
      <c r="F77" s="3">
        <v>20</v>
      </c>
      <c r="G77" s="3">
        <v>31</v>
      </c>
      <c r="H77" s="3">
        <v>6</v>
      </c>
      <c r="I77" s="3">
        <v>32</v>
      </c>
      <c r="J77" s="3">
        <v>0</v>
      </c>
      <c r="K77" s="3">
        <v>80</v>
      </c>
      <c r="L77">
        <f>IFERROR(VALUE(LEFT(C77,FIND(" ",C77)-1)), "")</f>
        <v>11.2</v>
      </c>
    </row>
    <row r="78" spans="1:12" x14ac:dyDescent="0.3">
      <c r="A78" s="3" t="s">
        <v>124</v>
      </c>
      <c r="B78" s="3" t="s">
        <v>160</v>
      </c>
      <c r="C78" s="3" t="s">
        <v>161</v>
      </c>
      <c r="D78" s="3">
        <v>540</v>
      </c>
      <c r="E78" s="3">
        <v>200</v>
      </c>
      <c r="F78" s="3">
        <v>23</v>
      </c>
      <c r="G78" s="3">
        <v>35</v>
      </c>
      <c r="H78" s="3">
        <v>4.5</v>
      </c>
      <c r="I78" s="3">
        <v>23</v>
      </c>
      <c r="J78" s="3">
        <v>0</v>
      </c>
      <c r="K78" s="3">
        <v>50</v>
      </c>
      <c r="L78">
        <f>IFERROR(VALUE(LEFT(C78,FIND(" ",C78)-1)), "")</f>
        <v>10.7</v>
      </c>
    </row>
    <row r="79" spans="1:12" x14ac:dyDescent="0.3">
      <c r="A79" s="3" t="s">
        <v>124</v>
      </c>
      <c r="B79" s="3" t="s">
        <v>162</v>
      </c>
      <c r="C79" s="3" t="s">
        <v>163</v>
      </c>
      <c r="D79" s="3">
        <v>380</v>
      </c>
      <c r="E79" s="3">
        <v>90</v>
      </c>
      <c r="F79" s="3">
        <v>10</v>
      </c>
      <c r="G79" s="3">
        <v>15</v>
      </c>
      <c r="H79" s="3">
        <v>3</v>
      </c>
      <c r="I79" s="3">
        <v>14</v>
      </c>
      <c r="J79" s="3">
        <v>0</v>
      </c>
      <c r="K79" s="3">
        <v>65</v>
      </c>
      <c r="L79">
        <f>IFERROR(VALUE(LEFT(C79,FIND(" ",C79)-1)), "")</f>
        <v>10.3</v>
      </c>
    </row>
    <row r="80" spans="1:12" x14ac:dyDescent="0.3">
      <c r="A80" s="3" t="s">
        <v>124</v>
      </c>
      <c r="B80" s="3" t="s">
        <v>164</v>
      </c>
      <c r="C80" s="3" t="s">
        <v>165</v>
      </c>
      <c r="D80" s="3">
        <v>190</v>
      </c>
      <c r="E80" s="3">
        <v>110</v>
      </c>
      <c r="F80" s="3">
        <v>12</v>
      </c>
      <c r="G80" s="3">
        <v>18</v>
      </c>
      <c r="H80" s="3">
        <v>2</v>
      </c>
      <c r="I80" s="3">
        <v>10</v>
      </c>
      <c r="J80" s="3">
        <v>0</v>
      </c>
      <c r="K80" s="3">
        <v>25</v>
      </c>
      <c r="L80">
        <f>IFERROR(VALUE(LEFT(C80,FIND(" ",C80)-1)), "")</f>
        <v>2.2999999999999998</v>
      </c>
    </row>
    <row r="81" spans="1:12" x14ac:dyDescent="0.3">
      <c r="A81" s="3" t="s">
        <v>124</v>
      </c>
      <c r="B81" s="3" t="s">
        <v>166</v>
      </c>
      <c r="C81" s="3" t="s">
        <v>167</v>
      </c>
      <c r="D81" s="3">
        <v>280</v>
      </c>
      <c r="E81" s="3">
        <v>160</v>
      </c>
      <c r="F81" s="3">
        <v>18</v>
      </c>
      <c r="G81" s="3">
        <v>27</v>
      </c>
      <c r="H81" s="3">
        <v>3</v>
      </c>
      <c r="I81" s="3">
        <v>15</v>
      </c>
      <c r="J81" s="3">
        <v>0</v>
      </c>
      <c r="K81" s="3">
        <v>40</v>
      </c>
      <c r="L81">
        <f>IFERROR(VALUE(LEFT(C81,FIND(" ",C81)-1)), "")</f>
        <v>3.4</v>
      </c>
    </row>
    <row r="82" spans="1:12" x14ac:dyDescent="0.3">
      <c r="A82" s="3" t="s">
        <v>124</v>
      </c>
      <c r="B82" s="3" t="s">
        <v>168</v>
      </c>
      <c r="C82" s="3" t="s">
        <v>169</v>
      </c>
      <c r="D82" s="3">
        <v>470</v>
      </c>
      <c r="E82" s="3">
        <v>270</v>
      </c>
      <c r="F82" s="3">
        <v>30</v>
      </c>
      <c r="G82" s="3">
        <v>45</v>
      </c>
      <c r="H82" s="3">
        <v>5</v>
      </c>
      <c r="I82" s="3">
        <v>25</v>
      </c>
      <c r="J82" s="3">
        <v>0</v>
      </c>
      <c r="K82" s="3">
        <v>65</v>
      </c>
      <c r="L82">
        <f>IFERROR(VALUE(LEFT(C82,FIND(" ",C82)-1)), "")</f>
        <v>5.7</v>
      </c>
    </row>
    <row r="83" spans="1:12" x14ac:dyDescent="0.3">
      <c r="A83" s="3" t="s">
        <v>124</v>
      </c>
      <c r="B83" s="3" t="s">
        <v>170</v>
      </c>
      <c r="C83" s="3" t="s">
        <v>171</v>
      </c>
      <c r="D83" s="3">
        <v>940</v>
      </c>
      <c r="E83" s="3">
        <v>530</v>
      </c>
      <c r="F83" s="3">
        <v>59</v>
      </c>
      <c r="G83" s="3">
        <v>91</v>
      </c>
      <c r="H83" s="3">
        <v>10</v>
      </c>
      <c r="I83" s="3">
        <v>50</v>
      </c>
      <c r="J83" s="3">
        <v>0</v>
      </c>
      <c r="K83" s="3">
        <v>135</v>
      </c>
      <c r="L83">
        <f>IFERROR(VALUE(LEFT(C83,FIND(" ",C83)-1)), "")</f>
        <v>11.4</v>
      </c>
    </row>
    <row r="84" spans="1:12" x14ac:dyDescent="0.3">
      <c r="A84" s="3" t="s">
        <v>124</v>
      </c>
      <c r="B84" s="3" t="s">
        <v>172</v>
      </c>
      <c r="C84" s="3" t="s">
        <v>173</v>
      </c>
      <c r="D84" s="3">
        <v>1880</v>
      </c>
      <c r="E84" s="3">
        <v>1060</v>
      </c>
      <c r="F84" s="3">
        <v>118</v>
      </c>
      <c r="G84" s="3">
        <v>182</v>
      </c>
      <c r="H84" s="3">
        <v>20</v>
      </c>
      <c r="I84" s="3">
        <v>101</v>
      </c>
      <c r="J84" s="3">
        <v>1</v>
      </c>
      <c r="K84" s="3">
        <v>265</v>
      </c>
      <c r="L84">
        <f>IFERROR(VALUE(LEFT(C84,FIND(" ",C84)-1)), "")</f>
        <v>22.8</v>
      </c>
    </row>
    <row r="85" spans="1:12" x14ac:dyDescent="0.3">
      <c r="A85" s="3" t="s">
        <v>124</v>
      </c>
      <c r="B85" s="3" t="s">
        <v>174</v>
      </c>
      <c r="C85" s="3" t="s">
        <v>175</v>
      </c>
      <c r="D85" s="3">
        <v>390</v>
      </c>
      <c r="E85" s="3">
        <v>170</v>
      </c>
      <c r="F85" s="3">
        <v>19</v>
      </c>
      <c r="G85" s="3">
        <v>29</v>
      </c>
      <c r="H85" s="3">
        <v>4</v>
      </c>
      <c r="I85" s="3">
        <v>19</v>
      </c>
      <c r="J85" s="3">
        <v>0</v>
      </c>
      <c r="K85" s="3">
        <v>40</v>
      </c>
      <c r="L85">
        <f>IFERROR(VALUE(LEFT(C85,FIND(" ",C85)-1)), "")</f>
        <v>5</v>
      </c>
    </row>
    <row r="86" spans="1:12" x14ac:dyDescent="0.3">
      <c r="A86" s="3" t="s">
        <v>176</v>
      </c>
      <c r="B86" s="3" t="s">
        <v>177</v>
      </c>
      <c r="C86" s="3" t="s">
        <v>178</v>
      </c>
      <c r="D86" s="3">
        <v>140</v>
      </c>
      <c r="E86" s="3">
        <v>70</v>
      </c>
      <c r="F86" s="3">
        <v>7</v>
      </c>
      <c r="G86" s="3">
        <v>11</v>
      </c>
      <c r="H86" s="3">
        <v>3.5</v>
      </c>
      <c r="I86" s="3">
        <v>18</v>
      </c>
      <c r="J86" s="3">
        <v>0</v>
      </c>
      <c r="K86" s="3">
        <v>25</v>
      </c>
      <c r="L86">
        <f>IFERROR(VALUE(LEFT(C86,FIND(" ",C86)-1)), "")</f>
        <v>7.9</v>
      </c>
    </row>
    <row r="87" spans="1:12" x14ac:dyDescent="0.3">
      <c r="A87" s="3" t="s">
        <v>176</v>
      </c>
      <c r="B87" s="3" t="s">
        <v>179</v>
      </c>
      <c r="C87" s="3" t="s">
        <v>180</v>
      </c>
      <c r="D87" s="3">
        <v>380</v>
      </c>
      <c r="E87" s="3">
        <v>190</v>
      </c>
      <c r="F87" s="3">
        <v>21</v>
      </c>
      <c r="G87" s="3">
        <v>33</v>
      </c>
      <c r="H87" s="3">
        <v>6</v>
      </c>
      <c r="I87" s="3">
        <v>29</v>
      </c>
      <c r="J87" s="3">
        <v>0</v>
      </c>
      <c r="K87" s="3">
        <v>70</v>
      </c>
      <c r="L87">
        <f>IFERROR(VALUE(LEFT(C87,FIND(" ",C87)-1)), "")</f>
        <v>9</v>
      </c>
    </row>
    <row r="88" spans="1:12" x14ac:dyDescent="0.3">
      <c r="A88" s="3" t="s">
        <v>176</v>
      </c>
      <c r="B88" s="3" t="s">
        <v>181</v>
      </c>
      <c r="C88" s="3" t="s">
        <v>67</v>
      </c>
      <c r="D88" s="3">
        <v>220</v>
      </c>
      <c r="E88" s="3">
        <v>80</v>
      </c>
      <c r="F88" s="3">
        <v>8</v>
      </c>
      <c r="G88" s="3">
        <v>13</v>
      </c>
      <c r="H88" s="3">
        <v>4</v>
      </c>
      <c r="I88" s="3">
        <v>20</v>
      </c>
      <c r="J88" s="3">
        <v>0</v>
      </c>
      <c r="K88" s="3">
        <v>85</v>
      </c>
      <c r="L88">
        <f>IFERROR(VALUE(LEFT(C88,FIND(" ",C88)-1)), "")</f>
        <v>8.5</v>
      </c>
    </row>
    <row r="89" spans="1:12" x14ac:dyDescent="0.3">
      <c r="A89" s="3" t="s">
        <v>176</v>
      </c>
      <c r="B89" s="3" t="s">
        <v>182</v>
      </c>
      <c r="C89" s="3" t="s">
        <v>133</v>
      </c>
      <c r="D89" s="3">
        <v>140</v>
      </c>
      <c r="E89" s="3">
        <v>40</v>
      </c>
      <c r="F89" s="3">
        <v>4.5</v>
      </c>
      <c r="G89" s="3">
        <v>7</v>
      </c>
      <c r="H89" s="3">
        <v>2</v>
      </c>
      <c r="I89" s="3">
        <v>9</v>
      </c>
      <c r="J89" s="3">
        <v>0</v>
      </c>
      <c r="K89" s="3">
        <v>10</v>
      </c>
      <c r="L89">
        <f>IFERROR(VALUE(LEFT(C89,FIND(" ",C89)-1)), "")</f>
        <v>8.1</v>
      </c>
    </row>
    <row r="90" spans="1:12" x14ac:dyDescent="0.3">
      <c r="A90" s="3" t="s">
        <v>176</v>
      </c>
      <c r="B90" s="3" t="s">
        <v>183</v>
      </c>
      <c r="C90" s="3" t="s">
        <v>184</v>
      </c>
      <c r="D90" s="3">
        <v>450</v>
      </c>
      <c r="E90" s="3">
        <v>190</v>
      </c>
      <c r="F90" s="3">
        <v>22</v>
      </c>
      <c r="G90" s="3">
        <v>33</v>
      </c>
      <c r="H90" s="3">
        <v>4.5</v>
      </c>
      <c r="I90" s="3">
        <v>22</v>
      </c>
      <c r="J90" s="3">
        <v>0</v>
      </c>
      <c r="K90" s="3">
        <v>50</v>
      </c>
      <c r="L90">
        <f>IFERROR(VALUE(LEFT(C90,FIND(" ",C90)-1)), "")</f>
        <v>12.3</v>
      </c>
    </row>
    <row r="91" spans="1:12" x14ac:dyDescent="0.3">
      <c r="A91" s="3" t="s">
        <v>176</v>
      </c>
      <c r="B91" s="3" t="s">
        <v>185</v>
      </c>
      <c r="C91" s="3" t="s">
        <v>186</v>
      </c>
      <c r="D91" s="3">
        <v>290</v>
      </c>
      <c r="E91" s="3">
        <v>80</v>
      </c>
      <c r="F91" s="3">
        <v>8</v>
      </c>
      <c r="G91" s="3">
        <v>13</v>
      </c>
      <c r="H91" s="3">
        <v>2.5</v>
      </c>
      <c r="I91" s="3">
        <v>13</v>
      </c>
      <c r="J91" s="3">
        <v>0</v>
      </c>
      <c r="K91" s="3">
        <v>70</v>
      </c>
      <c r="L91">
        <f>IFERROR(VALUE(LEFT(C91,FIND(" ",C91)-1)), "")</f>
        <v>11.8</v>
      </c>
    </row>
    <row r="92" spans="1:12" x14ac:dyDescent="0.3">
      <c r="A92" s="3" t="s">
        <v>187</v>
      </c>
      <c r="B92" s="3" t="s">
        <v>188</v>
      </c>
      <c r="C92" s="3" t="s">
        <v>189</v>
      </c>
      <c r="D92" s="3">
        <v>340</v>
      </c>
      <c r="E92" s="3">
        <v>130</v>
      </c>
      <c r="F92" s="3">
        <v>15</v>
      </c>
      <c r="G92" s="3">
        <v>23</v>
      </c>
      <c r="H92" s="3">
        <v>4.5</v>
      </c>
      <c r="I92" s="3">
        <v>22</v>
      </c>
      <c r="J92" s="3">
        <v>0</v>
      </c>
      <c r="K92" s="3">
        <v>30</v>
      </c>
      <c r="L92">
        <f>IFERROR(VALUE(LEFT(C92,FIND(" ",C92)-1)), "")</f>
        <v>4.5999999999999996</v>
      </c>
    </row>
    <row r="93" spans="1:12" x14ac:dyDescent="0.3">
      <c r="A93" s="3" t="s">
        <v>187</v>
      </c>
      <c r="B93" s="3" t="s">
        <v>190</v>
      </c>
      <c r="C93" s="3" t="s">
        <v>191</v>
      </c>
      <c r="D93" s="3">
        <v>260</v>
      </c>
      <c r="E93" s="3">
        <v>70</v>
      </c>
      <c r="F93" s="3">
        <v>8</v>
      </c>
      <c r="G93" s="3">
        <v>13</v>
      </c>
      <c r="H93" s="3">
        <v>3.5</v>
      </c>
      <c r="I93" s="3">
        <v>18</v>
      </c>
      <c r="J93" s="3">
        <v>0</v>
      </c>
      <c r="K93" s="3">
        <v>40</v>
      </c>
      <c r="L93">
        <f>IFERROR(VALUE(LEFT(C93,FIND(" ",C93)-1)), "")</f>
        <v>4.3</v>
      </c>
    </row>
    <row r="94" spans="1:12" x14ac:dyDescent="0.3">
      <c r="A94" s="3" t="s">
        <v>187</v>
      </c>
      <c r="B94" s="3" t="s">
        <v>192</v>
      </c>
      <c r="C94" s="3" t="s">
        <v>191</v>
      </c>
      <c r="D94" s="3">
        <v>330</v>
      </c>
      <c r="E94" s="3">
        <v>130</v>
      </c>
      <c r="F94" s="3">
        <v>15</v>
      </c>
      <c r="G94" s="3">
        <v>23</v>
      </c>
      <c r="H94" s="3">
        <v>4.5</v>
      </c>
      <c r="I94" s="3">
        <v>22</v>
      </c>
      <c r="J94" s="3">
        <v>0</v>
      </c>
      <c r="K94" s="3">
        <v>35</v>
      </c>
      <c r="L94">
        <f>IFERROR(VALUE(LEFT(C94,FIND(" ",C94)-1)), "")</f>
        <v>4.3</v>
      </c>
    </row>
    <row r="95" spans="1:12" x14ac:dyDescent="0.3">
      <c r="A95" s="3" t="s">
        <v>187</v>
      </c>
      <c r="B95" s="3" t="s">
        <v>193</v>
      </c>
      <c r="C95" s="3" t="s">
        <v>194</v>
      </c>
      <c r="D95" s="3">
        <v>250</v>
      </c>
      <c r="E95" s="3">
        <v>70</v>
      </c>
      <c r="F95" s="3">
        <v>8</v>
      </c>
      <c r="G95" s="3">
        <v>13</v>
      </c>
      <c r="H95" s="3">
        <v>3.5</v>
      </c>
      <c r="I95" s="3">
        <v>18</v>
      </c>
      <c r="J95" s="3">
        <v>0</v>
      </c>
      <c r="K95" s="3">
        <v>45</v>
      </c>
      <c r="L95">
        <f>IFERROR(VALUE(LEFT(C95,FIND(" ",C95)-1)), "")</f>
        <v>4.0999999999999996</v>
      </c>
    </row>
    <row r="96" spans="1:12" x14ac:dyDescent="0.3">
      <c r="A96" s="3" t="s">
        <v>187</v>
      </c>
      <c r="B96" s="3" t="s">
        <v>195</v>
      </c>
      <c r="C96" s="3" t="s">
        <v>196</v>
      </c>
      <c r="D96" s="3">
        <v>360</v>
      </c>
      <c r="E96" s="3">
        <v>180</v>
      </c>
      <c r="F96" s="3">
        <v>20</v>
      </c>
      <c r="G96" s="3">
        <v>30</v>
      </c>
      <c r="H96" s="3">
        <v>5</v>
      </c>
      <c r="I96" s="3">
        <v>27</v>
      </c>
      <c r="J96" s="3">
        <v>0</v>
      </c>
      <c r="K96" s="3">
        <v>40</v>
      </c>
      <c r="L96">
        <f>IFERROR(VALUE(LEFT(C96,FIND(" ",C96)-1)), "")</f>
        <v>4.5</v>
      </c>
    </row>
    <row r="97" spans="1:12" x14ac:dyDescent="0.3">
      <c r="A97" s="3" t="s">
        <v>187</v>
      </c>
      <c r="B97" s="3" t="s">
        <v>197</v>
      </c>
      <c r="C97" s="3" t="s">
        <v>198</v>
      </c>
      <c r="D97" s="3">
        <v>280</v>
      </c>
      <c r="E97" s="3">
        <v>120</v>
      </c>
      <c r="F97" s="3">
        <v>13</v>
      </c>
      <c r="G97" s="3">
        <v>20</v>
      </c>
      <c r="H97" s="3">
        <v>4.5</v>
      </c>
      <c r="I97" s="3">
        <v>22</v>
      </c>
      <c r="J97" s="3">
        <v>0</v>
      </c>
      <c r="K97" s="3">
        <v>45</v>
      </c>
      <c r="L97">
        <f>IFERROR(VALUE(LEFT(C97,FIND(" ",C97)-1)), "")</f>
        <v>4.3</v>
      </c>
    </row>
    <row r="98" spans="1:12" x14ac:dyDescent="0.3">
      <c r="A98" s="3" t="s">
        <v>187</v>
      </c>
      <c r="B98" s="3" t="s">
        <v>199</v>
      </c>
      <c r="C98" s="3" t="s">
        <v>200</v>
      </c>
      <c r="D98" s="3">
        <v>230</v>
      </c>
      <c r="E98" s="3">
        <v>100</v>
      </c>
      <c r="F98" s="3">
        <v>11</v>
      </c>
      <c r="G98" s="3">
        <v>17</v>
      </c>
      <c r="H98" s="3">
        <v>1.5</v>
      </c>
      <c r="I98" s="3">
        <v>8</v>
      </c>
      <c r="J98" s="3">
        <v>0</v>
      </c>
      <c r="K98" s="3">
        <v>0</v>
      </c>
      <c r="L98">
        <f>IFERROR(VALUE(LEFT(C98,FIND(" ",C98)-1)), "")</f>
        <v>2.6</v>
      </c>
    </row>
    <row r="99" spans="1:12" x14ac:dyDescent="0.3">
      <c r="A99" s="3" t="s">
        <v>187</v>
      </c>
      <c r="B99" s="3" t="s">
        <v>201</v>
      </c>
      <c r="C99" s="3" t="s">
        <v>23</v>
      </c>
      <c r="D99" s="3">
        <v>340</v>
      </c>
      <c r="E99" s="3">
        <v>140</v>
      </c>
      <c r="F99" s="3">
        <v>16</v>
      </c>
      <c r="G99" s="3">
        <v>24</v>
      </c>
      <c r="H99" s="3">
        <v>2.5</v>
      </c>
      <c r="I99" s="3">
        <v>11</v>
      </c>
      <c r="J99" s="3">
        <v>0</v>
      </c>
      <c r="K99" s="3">
        <v>0</v>
      </c>
      <c r="L99">
        <f>IFERROR(VALUE(LEFT(C99,FIND(" ",C99)-1)), "")</f>
        <v>3.9</v>
      </c>
    </row>
    <row r="100" spans="1:12" x14ac:dyDescent="0.3">
      <c r="A100" s="3" t="s">
        <v>187</v>
      </c>
      <c r="B100" s="3" t="s">
        <v>202</v>
      </c>
      <c r="C100" s="3" t="s">
        <v>203</v>
      </c>
      <c r="D100" s="3">
        <v>510</v>
      </c>
      <c r="E100" s="3">
        <v>220</v>
      </c>
      <c r="F100" s="3">
        <v>24</v>
      </c>
      <c r="G100" s="3">
        <v>37</v>
      </c>
      <c r="H100" s="3">
        <v>3.5</v>
      </c>
      <c r="I100" s="3">
        <v>17</v>
      </c>
      <c r="J100" s="3">
        <v>0</v>
      </c>
      <c r="K100" s="3">
        <v>0</v>
      </c>
      <c r="L100">
        <f>IFERROR(VALUE(LEFT(C100,FIND(" ",C100)-1)), "")</f>
        <v>5.9</v>
      </c>
    </row>
    <row r="101" spans="1:12" x14ac:dyDescent="0.3">
      <c r="A101" s="3" t="s">
        <v>187</v>
      </c>
      <c r="B101" s="3" t="s">
        <v>204</v>
      </c>
      <c r="C101" s="3" t="s">
        <v>205</v>
      </c>
      <c r="D101" s="3">
        <v>110</v>
      </c>
      <c r="E101" s="3">
        <v>50</v>
      </c>
      <c r="F101" s="3">
        <v>5</v>
      </c>
      <c r="G101" s="3">
        <v>8</v>
      </c>
      <c r="H101" s="3">
        <v>1</v>
      </c>
      <c r="I101" s="3">
        <v>4</v>
      </c>
      <c r="J101" s="3">
        <v>0</v>
      </c>
      <c r="K101" s="3">
        <v>0</v>
      </c>
      <c r="L101">
        <f>IFERROR(VALUE(LEFT(C101,FIND(" ",C101)-1)), "")</f>
        <v>1.3</v>
      </c>
    </row>
    <row r="102" spans="1:12" x14ac:dyDescent="0.3">
      <c r="A102" s="3" t="s">
        <v>187</v>
      </c>
      <c r="B102" s="3" t="s">
        <v>206</v>
      </c>
      <c r="C102" s="3" t="s">
        <v>207</v>
      </c>
      <c r="D102" s="3">
        <v>20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>
        <f>IFERROR(VALUE(LEFT(C102,FIND(" ",C102)-1)), "")</f>
        <v>3.1</v>
      </c>
    </row>
    <row r="103" spans="1:12" x14ac:dyDescent="0.3">
      <c r="A103" s="3" t="s">
        <v>187</v>
      </c>
      <c r="B103" s="3" t="s">
        <v>208</v>
      </c>
      <c r="C103" s="3" t="s">
        <v>209</v>
      </c>
      <c r="D103" s="3">
        <v>15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>
        <f>IFERROR(VALUE(LEFT(C103,FIND(" ",C103)-1)), "")</f>
        <v>1.2</v>
      </c>
    </row>
    <row r="104" spans="1:12" x14ac:dyDescent="0.3">
      <c r="A104" s="3" t="s">
        <v>187</v>
      </c>
      <c r="B104" s="3" t="s">
        <v>210</v>
      </c>
      <c r="C104" s="3" t="s">
        <v>211</v>
      </c>
      <c r="D104" s="3">
        <v>150</v>
      </c>
      <c r="E104" s="3">
        <v>20</v>
      </c>
      <c r="F104" s="3">
        <v>2</v>
      </c>
      <c r="G104" s="3">
        <v>3</v>
      </c>
      <c r="H104" s="3">
        <v>1</v>
      </c>
      <c r="I104" s="3">
        <v>5</v>
      </c>
      <c r="J104" s="3">
        <v>0</v>
      </c>
      <c r="K104" s="3">
        <v>5</v>
      </c>
      <c r="L104">
        <f>IFERROR(VALUE(LEFT(C104,FIND(" ",C104)-1)), "")</f>
        <v>5.2</v>
      </c>
    </row>
    <row r="105" spans="1:12" x14ac:dyDescent="0.3">
      <c r="A105" s="3" t="s">
        <v>212</v>
      </c>
      <c r="B105" s="3" t="s">
        <v>213</v>
      </c>
      <c r="C105" s="3" t="s">
        <v>214</v>
      </c>
      <c r="D105" s="3">
        <v>250</v>
      </c>
      <c r="E105" s="3">
        <v>110</v>
      </c>
      <c r="F105" s="3">
        <v>13</v>
      </c>
      <c r="G105" s="3">
        <v>19</v>
      </c>
      <c r="H105" s="3">
        <v>7</v>
      </c>
      <c r="I105" s="3">
        <v>35</v>
      </c>
      <c r="J105" s="3">
        <v>0</v>
      </c>
      <c r="K105" s="3">
        <v>0</v>
      </c>
      <c r="L105">
        <f>IFERROR(VALUE(LEFT(C105,FIND(" ",C105)-1)), "")</f>
        <v>2.7</v>
      </c>
    </row>
    <row r="106" spans="1:12" x14ac:dyDescent="0.3">
      <c r="A106" s="3" t="s">
        <v>212</v>
      </c>
      <c r="B106" s="3" t="s">
        <v>215</v>
      </c>
      <c r="C106" s="3" t="s">
        <v>216</v>
      </c>
      <c r="D106" s="3">
        <v>160</v>
      </c>
      <c r="E106" s="3">
        <v>70</v>
      </c>
      <c r="F106" s="3">
        <v>8</v>
      </c>
      <c r="G106" s="3">
        <v>12</v>
      </c>
      <c r="H106" s="3">
        <v>3.5</v>
      </c>
      <c r="I106" s="3">
        <v>19</v>
      </c>
      <c r="J106" s="3">
        <v>0</v>
      </c>
      <c r="K106" s="3">
        <v>10</v>
      </c>
      <c r="L106">
        <f>IFERROR(VALUE(LEFT(C106,FIND(" ",C106)-1)), "")</f>
        <v>1</v>
      </c>
    </row>
    <row r="107" spans="1:12" x14ac:dyDescent="0.3">
      <c r="A107" s="3" t="s">
        <v>212</v>
      </c>
      <c r="B107" s="3" t="s">
        <v>217</v>
      </c>
      <c r="C107" s="3" t="s">
        <v>216</v>
      </c>
      <c r="D107" s="3">
        <v>150</v>
      </c>
      <c r="E107" s="3">
        <v>50</v>
      </c>
      <c r="F107" s="3">
        <v>6</v>
      </c>
      <c r="G107" s="3">
        <v>9</v>
      </c>
      <c r="H107" s="3">
        <v>2.5</v>
      </c>
      <c r="I107" s="3">
        <v>13</v>
      </c>
      <c r="J107" s="3">
        <v>0</v>
      </c>
      <c r="K107" s="3">
        <v>10</v>
      </c>
      <c r="L107">
        <f>IFERROR(VALUE(LEFT(C107,FIND(" ",C107)-1)), "")</f>
        <v>1</v>
      </c>
    </row>
    <row r="108" spans="1:12" x14ac:dyDescent="0.3">
      <c r="A108" s="3" t="s">
        <v>212</v>
      </c>
      <c r="B108" s="3" t="s">
        <v>218</v>
      </c>
      <c r="C108" s="3" t="s">
        <v>219</v>
      </c>
      <c r="D108" s="3">
        <v>45</v>
      </c>
      <c r="E108" s="3">
        <v>10</v>
      </c>
      <c r="F108" s="3">
        <v>1.5</v>
      </c>
      <c r="G108" s="3">
        <v>2</v>
      </c>
      <c r="H108" s="3">
        <v>1</v>
      </c>
      <c r="I108" s="3">
        <v>4</v>
      </c>
      <c r="J108" s="3">
        <v>0</v>
      </c>
      <c r="K108" s="3">
        <v>5</v>
      </c>
      <c r="L108">
        <f>IFERROR(VALUE(LEFT(C108,FIND(" ",C108)-1)), "")</f>
        <v>1</v>
      </c>
    </row>
    <row r="109" spans="1:12" x14ac:dyDescent="0.3">
      <c r="A109" s="3" t="s">
        <v>212</v>
      </c>
      <c r="B109" s="3" t="s">
        <v>220</v>
      </c>
      <c r="C109" s="3" t="s">
        <v>221</v>
      </c>
      <c r="D109" s="3">
        <v>330</v>
      </c>
      <c r="E109" s="3">
        <v>80</v>
      </c>
      <c r="F109" s="3">
        <v>9</v>
      </c>
      <c r="G109" s="3">
        <v>14</v>
      </c>
      <c r="H109" s="3">
        <v>7</v>
      </c>
      <c r="I109" s="3">
        <v>34</v>
      </c>
      <c r="J109" s="3">
        <v>0</v>
      </c>
      <c r="K109" s="3">
        <v>25</v>
      </c>
      <c r="L109">
        <f>IFERROR(VALUE(LEFT(C109,FIND(" ",C109)-1)), "")</f>
        <v>6.3</v>
      </c>
    </row>
    <row r="110" spans="1:12" x14ac:dyDescent="0.3">
      <c r="A110" s="3" t="s">
        <v>212</v>
      </c>
      <c r="B110" s="3" t="s">
        <v>222</v>
      </c>
      <c r="C110" s="3" t="s">
        <v>223</v>
      </c>
      <c r="D110" s="3">
        <v>340</v>
      </c>
      <c r="E110" s="3">
        <v>70</v>
      </c>
      <c r="F110" s="3">
        <v>8</v>
      </c>
      <c r="G110" s="3">
        <v>12</v>
      </c>
      <c r="H110" s="3">
        <v>5</v>
      </c>
      <c r="I110" s="3">
        <v>24</v>
      </c>
      <c r="J110" s="3">
        <v>0</v>
      </c>
      <c r="K110" s="3">
        <v>30</v>
      </c>
      <c r="L110">
        <f>IFERROR(VALUE(LEFT(C110,FIND(" ",C110)-1)), "")</f>
        <v>6.4</v>
      </c>
    </row>
    <row r="111" spans="1:12" x14ac:dyDescent="0.3">
      <c r="A111" s="3" t="s">
        <v>212</v>
      </c>
      <c r="B111" s="3" t="s">
        <v>224</v>
      </c>
      <c r="C111" s="3" t="s">
        <v>57</v>
      </c>
      <c r="D111" s="3">
        <v>280</v>
      </c>
      <c r="E111" s="3">
        <v>60</v>
      </c>
      <c r="F111" s="3">
        <v>6</v>
      </c>
      <c r="G111" s="3">
        <v>10</v>
      </c>
      <c r="H111" s="3">
        <v>4</v>
      </c>
      <c r="I111" s="3">
        <v>20</v>
      </c>
      <c r="J111" s="3">
        <v>0</v>
      </c>
      <c r="K111" s="3">
        <v>25</v>
      </c>
      <c r="L111">
        <f>IFERROR(VALUE(LEFT(C111,FIND(" ",C111)-1)), "")</f>
        <v>6.3</v>
      </c>
    </row>
    <row r="112" spans="1:12" x14ac:dyDescent="0.3">
      <c r="A112" s="3" t="s">
        <v>258</v>
      </c>
      <c r="B112" s="3" t="s">
        <v>259</v>
      </c>
      <c r="C112" s="3" t="s">
        <v>227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>
        <f>IFERROR(VALUE(LEFT(C112,FIND(" ",C112)-1)), "")</f>
        <v>16</v>
      </c>
    </row>
    <row r="113" spans="1:12" x14ac:dyDescent="0.3">
      <c r="A113" s="3" t="s">
        <v>258</v>
      </c>
      <c r="B113" s="3" t="s">
        <v>260</v>
      </c>
      <c r="C113" s="3" t="s">
        <v>229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>
        <f>IFERROR(VALUE(LEFT(C113,FIND(" ",C113)-1)), "")</f>
        <v>21</v>
      </c>
    </row>
    <row r="114" spans="1:12" x14ac:dyDescent="0.3">
      <c r="A114" s="3" t="s">
        <v>258</v>
      </c>
      <c r="B114" s="3" t="s">
        <v>261</v>
      </c>
      <c r="C114" s="3" t="s">
        <v>231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>
        <f>IFERROR(VALUE(LEFT(C114,FIND(" ",C114)-1)), "")</f>
        <v>30</v>
      </c>
    </row>
    <row r="115" spans="1:12" x14ac:dyDescent="0.3">
      <c r="A115" s="3" t="s">
        <v>258</v>
      </c>
      <c r="B115" s="3" t="s">
        <v>262</v>
      </c>
      <c r="C115" s="3" t="s">
        <v>233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>
        <f>IFERROR(VALUE(LEFT(C115,FIND(" ",C115)-1)), "")</f>
        <v>12</v>
      </c>
    </row>
    <row r="116" spans="1:12" x14ac:dyDescent="0.3">
      <c r="A116" s="3" t="s">
        <v>258</v>
      </c>
      <c r="B116" s="3" t="s">
        <v>263</v>
      </c>
      <c r="C116" s="3" t="s">
        <v>227</v>
      </c>
      <c r="D116" s="3">
        <v>150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>
        <f>IFERROR(VALUE(LEFT(C116,FIND(" ",C116)-1)), "")</f>
        <v>16</v>
      </c>
    </row>
    <row r="117" spans="1:12" x14ac:dyDescent="0.3">
      <c r="A117" s="3" t="s">
        <v>258</v>
      </c>
      <c r="B117" s="3" t="s">
        <v>264</v>
      </c>
      <c r="C117" s="3" t="s">
        <v>229</v>
      </c>
      <c r="D117" s="3">
        <v>180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>
        <f>IFERROR(VALUE(LEFT(C117,FIND(" ",C117)-1)), "")</f>
        <v>21</v>
      </c>
    </row>
    <row r="118" spans="1:12" x14ac:dyDescent="0.3">
      <c r="A118" s="3" t="s">
        <v>258</v>
      </c>
      <c r="B118" s="3" t="s">
        <v>265</v>
      </c>
      <c r="C118" s="3" t="s">
        <v>231</v>
      </c>
      <c r="D118" s="3">
        <v>220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>
        <f>IFERROR(VALUE(LEFT(C118,FIND(" ",C118)-1)), "")</f>
        <v>30</v>
      </c>
    </row>
    <row r="119" spans="1:12" x14ac:dyDescent="0.3">
      <c r="A119" s="3" t="s">
        <v>258</v>
      </c>
      <c r="B119" s="3" t="s">
        <v>266</v>
      </c>
      <c r="C119" s="3" t="s">
        <v>233</v>
      </c>
      <c r="D119" s="3">
        <v>110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>
        <f>IFERROR(VALUE(LEFT(C119,FIND(" ",C119)-1)), "")</f>
        <v>12</v>
      </c>
    </row>
    <row r="120" spans="1:12" x14ac:dyDescent="0.3">
      <c r="A120" s="3" t="s">
        <v>258</v>
      </c>
      <c r="B120" s="3" t="s">
        <v>267</v>
      </c>
      <c r="C120" s="3" t="s">
        <v>233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>
        <f>IFERROR(VALUE(LEFT(C120,FIND(" ",C120)-1)), "")</f>
        <v>12</v>
      </c>
    </row>
    <row r="121" spans="1:12" x14ac:dyDescent="0.3">
      <c r="A121" s="3" t="s">
        <v>258</v>
      </c>
      <c r="B121" s="3" t="s">
        <v>268</v>
      </c>
      <c r="C121" s="3" t="s">
        <v>227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>
        <f>IFERROR(VALUE(LEFT(C121,FIND(" ",C121)-1)), "")</f>
        <v>16</v>
      </c>
    </row>
    <row r="122" spans="1:12" x14ac:dyDescent="0.3">
      <c r="A122" s="3" t="s">
        <v>258</v>
      </c>
      <c r="B122" s="3" t="s">
        <v>269</v>
      </c>
      <c r="C122" s="3" t="s">
        <v>227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>
        <f>IFERROR(VALUE(LEFT(C122,FIND(" ",C122)-1)), "")</f>
        <v>16</v>
      </c>
    </row>
    <row r="123" spans="1:12" x14ac:dyDescent="0.3">
      <c r="A123" s="3" t="s">
        <v>258</v>
      </c>
      <c r="B123" s="3" t="s">
        <v>270</v>
      </c>
      <c r="C123" s="3" t="s">
        <v>233</v>
      </c>
      <c r="D123" s="3">
        <v>170</v>
      </c>
      <c r="E123" s="3">
        <v>80</v>
      </c>
      <c r="F123" s="3">
        <v>9</v>
      </c>
      <c r="G123" s="3">
        <v>13</v>
      </c>
      <c r="H123" s="3">
        <v>5</v>
      </c>
      <c r="I123" s="3">
        <v>24</v>
      </c>
      <c r="J123" s="3">
        <v>0</v>
      </c>
      <c r="K123" s="3">
        <v>25</v>
      </c>
      <c r="L123">
        <f>IFERROR(VALUE(LEFT(C123,FIND(" ",C123)-1)), "")</f>
        <v>12</v>
      </c>
    </row>
    <row r="124" spans="1:12" x14ac:dyDescent="0.3">
      <c r="A124" s="3" t="s">
        <v>258</v>
      </c>
      <c r="B124" s="3" t="s">
        <v>271</v>
      </c>
      <c r="C124" s="3" t="s">
        <v>227</v>
      </c>
      <c r="D124" s="3">
        <v>210</v>
      </c>
      <c r="E124" s="3">
        <v>90</v>
      </c>
      <c r="F124" s="3">
        <v>10</v>
      </c>
      <c r="G124" s="3">
        <v>16</v>
      </c>
      <c r="H124" s="3">
        <v>6</v>
      </c>
      <c r="I124" s="3">
        <v>30</v>
      </c>
      <c r="J124" s="3">
        <v>0</v>
      </c>
      <c r="K124" s="3">
        <v>30</v>
      </c>
      <c r="L124">
        <f>IFERROR(VALUE(LEFT(C124,FIND(" ",C124)-1)), "")</f>
        <v>16</v>
      </c>
    </row>
    <row r="125" spans="1:12" x14ac:dyDescent="0.3">
      <c r="A125" s="3" t="s">
        <v>258</v>
      </c>
      <c r="B125" s="3" t="s">
        <v>272</v>
      </c>
      <c r="C125" s="3" t="s">
        <v>273</v>
      </c>
      <c r="D125" s="3">
        <v>280</v>
      </c>
      <c r="E125" s="3">
        <v>120</v>
      </c>
      <c r="F125" s="3">
        <v>14</v>
      </c>
      <c r="G125" s="3">
        <v>21</v>
      </c>
      <c r="H125" s="3">
        <v>8</v>
      </c>
      <c r="I125" s="3">
        <v>39</v>
      </c>
      <c r="J125" s="3">
        <v>0</v>
      </c>
      <c r="K125" s="3">
        <v>40</v>
      </c>
      <c r="L125">
        <f>IFERROR(VALUE(LEFT(C125,FIND(" ",C125)-1)), "")</f>
        <v>20</v>
      </c>
    </row>
    <row r="126" spans="1:12" x14ac:dyDescent="0.3">
      <c r="A126" s="3" t="s">
        <v>258</v>
      </c>
      <c r="B126" s="3" t="s">
        <v>274</v>
      </c>
      <c r="C126" s="3" t="s">
        <v>233</v>
      </c>
      <c r="D126" s="3">
        <v>270</v>
      </c>
      <c r="E126" s="3">
        <v>80</v>
      </c>
      <c r="F126" s="3">
        <v>9</v>
      </c>
      <c r="G126" s="3">
        <v>13</v>
      </c>
      <c r="H126" s="3">
        <v>5</v>
      </c>
      <c r="I126" s="3">
        <v>24</v>
      </c>
      <c r="J126" s="3">
        <v>0</v>
      </c>
      <c r="K126" s="3">
        <v>25</v>
      </c>
      <c r="L126">
        <f>IFERROR(VALUE(LEFT(C126,FIND(" ",C126)-1)), "")</f>
        <v>12</v>
      </c>
    </row>
    <row r="127" spans="1:12" x14ac:dyDescent="0.3">
      <c r="A127" s="3" t="s">
        <v>258</v>
      </c>
      <c r="B127" s="3" t="s">
        <v>275</v>
      </c>
      <c r="C127" s="3" t="s">
        <v>227</v>
      </c>
      <c r="D127" s="3">
        <v>340</v>
      </c>
      <c r="E127" s="3">
        <v>90</v>
      </c>
      <c r="F127" s="3">
        <v>10</v>
      </c>
      <c r="G127" s="3">
        <v>16</v>
      </c>
      <c r="H127" s="3">
        <v>6</v>
      </c>
      <c r="I127" s="3">
        <v>30</v>
      </c>
      <c r="J127" s="3">
        <v>0</v>
      </c>
      <c r="K127" s="3">
        <v>30</v>
      </c>
      <c r="L127">
        <f>IFERROR(VALUE(LEFT(C127,FIND(" ",C127)-1)), "")</f>
        <v>16</v>
      </c>
    </row>
    <row r="128" spans="1:12" x14ac:dyDescent="0.3">
      <c r="A128" s="3" t="s">
        <v>258</v>
      </c>
      <c r="B128" s="3" t="s">
        <v>276</v>
      </c>
      <c r="C128" s="3" t="s">
        <v>273</v>
      </c>
      <c r="D128" s="3">
        <v>430</v>
      </c>
      <c r="E128" s="3">
        <v>120</v>
      </c>
      <c r="F128" s="3">
        <v>14</v>
      </c>
      <c r="G128" s="3">
        <v>21</v>
      </c>
      <c r="H128" s="3">
        <v>8</v>
      </c>
      <c r="I128" s="3">
        <v>39</v>
      </c>
      <c r="J128" s="3">
        <v>0</v>
      </c>
      <c r="K128" s="3">
        <v>40</v>
      </c>
      <c r="L128">
        <f>IFERROR(VALUE(LEFT(C128,FIND(" ",C128)-1)), "")</f>
        <v>20</v>
      </c>
    </row>
    <row r="129" spans="1:12" x14ac:dyDescent="0.3">
      <c r="A129" s="3" t="s">
        <v>258</v>
      </c>
      <c r="B129" s="3" t="s">
        <v>277</v>
      </c>
      <c r="C129" s="3" t="s">
        <v>233</v>
      </c>
      <c r="D129" s="3">
        <v>270</v>
      </c>
      <c r="E129" s="3">
        <v>80</v>
      </c>
      <c r="F129" s="3">
        <v>9</v>
      </c>
      <c r="G129" s="3">
        <v>13</v>
      </c>
      <c r="H129" s="3">
        <v>5</v>
      </c>
      <c r="I129" s="3">
        <v>24</v>
      </c>
      <c r="J129" s="3">
        <v>0</v>
      </c>
      <c r="K129" s="3">
        <v>25</v>
      </c>
      <c r="L129">
        <f>IFERROR(VALUE(LEFT(C129,FIND(" ",C129)-1)), "")</f>
        <v>12</v>
      </c>
    </row>
    <row r="130" spans="1:12" x14ac:dyDescent="0.3">
      <c r="A130" s="3" t="s">
        <v>258</v>
      </c>
      <c r="B130" s="3" t="s">
        <v>278</v>
      </c>
      <c r="C130" s="3" t="s">
        <v>227</v>
      </c>
      <c r="D130" s="3">
        <v>330</v>
      </c>
      <c r="E130" s="3">
        <v>90</v>
      </c>
      <c r="F130" s="3">
        <v>10</v>
      </c>
      <c r="G130" s="3">
        <v>16</v>
      </c>
      <c r="H130" s="3">
        <v>6</v>
      </c>
      <c r="I130" s="3">
        <v>30</v>
      </c>
      <c r="J130" s="3">
        <v>0</v>
      </c>
      <c r="K130" s="3">
        <v>30</v>
      </c>
      <c r="L130">
        <f>IFERROR(VALUE(LEFT(C130,FIND(" ",C130)-1)), "")</f>
        <v>16</v>
      </c>
    </row>
    <row r="131" spans="1:12" x14ac:dyDescent="0.3">
      <c r="A131" s="3" t="s">
        <v>258</v>
      </c>
      <c r="B131" s="3" t="s">
        <v>279</v>
      </c>
      <c r="C131" s="3" t="s">
        <v>273</v>
      </c>
      <c r="D131" s="3">
        <v>430</v>
      </c>
      <c r="E131" s="3">
        <v>120</v>
      </c>
      <c r="F131" s="3">
        <v>14</v>
      </c>
      <c r="G131" s="3">
        <v>21</v>
      </c>
      <c r="H131" s="3">
        <v>8</v>
      </c>
      <c r="I131" s="3">
        <v>39</v>
      </c>
      <c r="J131" s="3">
        <v>0</v>
      </c>
      <c r="K131" s="3">
        <v>40</v>
      </c>
      <c r="L131">
        <f>IFERROR(VALUE(LEFT(C131,FIND(" ",C131)-1)), "")</f>
        <v>20</v>
      </c>
    </row>
    <row r="132" spans="1:12" x14ac:dyDescent="0.3">
      <c r="A132" s="3" t="s">
        <v>258</v>
      </c>
      <c r="B132" s="3" t="s">
        <v>280</v>
      </c>
      <c r="C132" s="3" t="s">
        <v>233</v>
      </c>
      <c r="D132" s="3">
        <v>260</v>
      </c>
      <c r="E132" s="3">
        <v>80</v>
      </c>
      <c r="F132" s="3">
        <v>9</v>
      </c>
      <c r="G132" s="3">
        <v>13</v>
      </c>
      <c r="H132" s="3">
        <v>5</v>
      </c>
      <c r="I132" s="3">
        <v>24</v>
      </c>
      <c r="J132" s="3">
        <v>0</v>
      </c>
      <c r="K132" s="3">
        <v>25</v>
      </c>
      <c r="L132">
        <f>IFERROR(VALUE(LEFT(C132,FIND(" ",C132)-1)), "")</f>
        <v>12</v>
      </c>
    </row>
    <row r="133" spans="1:12" x14ac:dyDescent="0.3">
      <c r="A133" s="3" t="s">
        <v>258</v>
      </c>
      <c r="B133" s="3" t="s">
        <v>281</v>
      </c>
      <c r="C133" s="3" t="s">
        <v>227</v>
      </c>
      <c r="D133" s="3">
        <v>330</v>
      </c>
      <c r="E133" s="3">
        <v>90</v>
      </c>
      <c r="F133" s="3">
        <v>10</v>
      </c>
      <c r="G133" s="3">
        <v>16</v>
      </c>
      <c r="H133" s="3">
        <v>6</v>
      </c>
      <c r="I133" s="3">
        <v>30</v>
      </c>
      <c r="J133" s="3">
        <v>0</v>
      </c>
      <c r="K133" s="3">
        <v>30</v>
      </c>
      <c r="L133">
        <f>IFERROR(VALUE(LEFT(C133,FIND(" ",C133)-1)), "")</f>
        <v>16</v>
      </c>
    </row>
    <row r="134" spans="1:12" x14ac:dyDescent="0.3">
      <c r="A134" s="3" t="s">
        <v>258</v>
      </c>
      <c r="B134" s="3" t="s">
        <v>282</v>
      </c>
      <c r="C134" s="3" t="s">
        <v>273</v>
      </c>
      <c r="D134" s="3">
        <v>420</v>
      </c>
      <c r="E134" s="3">
        <v>120</v>
      </c>
      <c r="F134" s="3">
        <v>14</v>
      </c>
      <c r="G134" s="3">
        <v>21</v>
      </c>
      <c r="H134" s="3">
        <v>8</v>
      </c>
      <c r="I134" s="3">
        <v>39</v>
      </c>
      <c r="J134" s="3">
        <v>0</v>
      </c>
      <c r="K134" s="3">
        <v>40</v>
      </c>
      <c r="L134">
        <f>IFERROR(VALUE(LEFT(C134,FIND(" ",C134)-1)), "")</f>
        <v>20</v>
      </c>
    </row>
    <row r="135" spans="1:12" x14ac:dyDescent="0.3">
      <c r="A135" s="3" t="s">
        <v>258</v>
      </c>
      <c r="B135" s="3" t="s">
        <v>283</v>
      </c>
      <c r="C135" s="3" t="s">
        <v>233</v>
      </c>
      <c r="D135" s="3">
        <v>210</v>
      </c>
      <c r="E135" s="3">
        <v>80</v>
      </c>
      <c r="F135" s="3">
        <v>9</v>
      </c>
      <c r="G135" s="3">
        <v>13</v>
      </c>
      <c r="H135" s="3">
        <v>5</v>
      </c>
      <c r="I135" s="3">
        <v>24</v>
      </c>
      <c r="J135" s="3">
        <v>0</v>
      </c>
      <c r="K135" s="3">
        <v>25</v>
      </c>
      <c r="L135">
        <f>IFERROR(VALUE(LEFT(C135,FIND(" ",C135)-1)), "")</f>
        <v>12</v>
      </c>
    </row>
    <row r="136" spans="1:12" x14ac:dyDescent="0.3">
      <c r="A136" s="3" t="s">
        <v>258</v>
      </c>
      <c r="B136" s="3" t="s">
        <v>284</v>
      </c>
      <c r="C136" s="3" t="s">
        <v>227</v>
      </c>
      <c r="D136" s="3">
        <v>260</v>
      </c>
      <c r="E136" s="3">
        <v>90</v>
      </c>
      <c r="F136" s="3">
        <v>10</v>
      </c>
      <c r="G136" s="3">
        <v>16</v>
      </c>
      <c r="H136" s="3">
        <v>6</v>
      </c>
      <c r="I136" s="3">
        <v>30</v>
      </c>
      <c r="J136" s="3">
        <v>0</v>
      </c>
      <c r="K136" s="3">
        <v>30</v>
      </c>
      <c r="L136">
        <f>IFERROR(VALUE(LEFT(C136,FIND(" ",C136)-1)), "")</f>
        <v>16</v>
      </c>
    </row>
    <row r="137" spans="1:12" x14ac:dyDescent="0.3">
      <c r="A137" s="3" t="s">
        <v>258</v>
      </c>
      <c r="B137" s="3" t="s">
        <v>285</v>
      </c>
      <c r="C137" s="3" t="s">
        <v>273</v>
      </c>
      <c r="D137" s="3">
        <v>330</v>
      </c>
      <c r="E137" s="3">
        <v>120</v>
      </c>
      <c r="F137" s="3">
        <v>14</v>
      </c>
      <c r="G137" s="3">
        <v>21</v>
      </c>
      <c r="H137" s="3">
        <v>8</v>
      </c>
      <c r="I137" s="3">
        <v>39</v>
      </c>
      <c r="J137" s="3">
        <v>0</v>
      </c>
      <c r="K137" s="3">
        <v>40</v>
      </c>
      <c r="L137">
        <f>IFERROR(VALUE(LEFT(C137,FIND(" ",C137)-1)), "")</f>
        <v>20</v>
      </c>
    </row>
    <row r="138" spans="1:12" x14ac:dyDescent="0.3">
      <c r="A138" s="3" t="s">
        <v>258</v>
      </c>
      <c r="B138" s="3" t="s">
        <v>286</v>
      </c>
      <c r="C138" s="3" t="s">
        <v>233</v>
      </c>
      <c r="D138" s="3">
        <v>100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5</v>
      </c>
      <c r="L138">
        <f>IFERROR(VALUE(LEFT(C138,FIND(" ",C138)-1)), "")</f>
        <v>12</v>
      </c>
    </row>
    <row r="139" spans="1:12" x14ac:dyDescent="0.3">
      <c r="A139" s="3" t="s">
        <v>258</v>
      </c>
      <c r="B139" s="3" t="s">
        <v>287</v>
      </c>
      <c r="C139" s="3" t="s">
        <v>227</v>
      </c>
      <c r="D139" s="3">
        <v>130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5</v>
      </c>
      <c r="L139">
        <f>IFERROR(VALUE(LEFT(C139,FIND(" ",C139)-1)), "")</f>
        <v>16</v>
      </c>
    </row>
    <row r="140" spans="1:12" x14ac:dyDescent="0.3">
      <c r="A140" s="3" t="s">
        <v>258</v>
      </c>
      <c r="B140" s="3" t="s">
        <v>288</v>
      </c>
      <c r="C140" s="3" t="s">
        <v>273</v>
      </c>
      <c r="D140" s="3">
        <v>170</v>
      </c>
      <c r="E140" s="3">
        <v>0</v>
      </c>
      <c r="F140" s="3">
        <v>0.5</v>
      </c>
      <c r="G140" s="3">
        <v>1</v>
      </c>
      <c r="H140" s="3">
        <v>0</v>
      </c>
      <c r="I140" s="3">
        <v>0</v>
      </c>
      <c r="J140" s="3">
        <v>0</v>
      </c>
      <c r="K140" s="3">
        <v>10</v>
      </c>
      <c r="L140">
        <f>IFERROR(VALUE(LEFT(C140,FIND(" ",C140)-1)), "")</f>
        <v>20</v>
      </c>
    </row>
    <row r="141" spans="1:12" x14ac:dyDescent="0.3">
      <c r="A141" s="3" t="s">
        <v>258</v>
      </c>
      <c r="B141" s="3" t="s">
        <v>289</v>
      </c>
      <c r="C141" s="3" t="s">
        <v>233</v>
      </c>
      <c r="D141" s="3">
        <v>200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5</v>
      </c>
      <c r="L141">
        <f>IFERROR(VALUE(LEFT(C141,FIND(" ",C141)-1)), "")</f>
        <v>12</v>
      </c>
    </row>
    <row r="142" spans="1:12" x14ac:dyDescent="0.3">
      <c r="A142" s="3" t="s">
        <v>258</v>
      </c>
      <c r="B142" s="3" t="s">
        <v>290</v>
      </c>
      <c r="C142" s="3" t="s">
        <v>227</v>
      </c>
      <c r="D142" s="3">
        <v>250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5</v>
      </c>
      <c r="L142">
        <f>IFERROR(VALUE(LEFT(C142,FIND(" ",C142)-1)), "")</f>
        <v>16</v>
      </c>
    </row>
    <row r="143" spans="1:12" x14ac:dyDescent="0.3">
      <c r="A143" s="3" t="s">
        <v>258</v>
      </c>
      <c r="B143" s="3" t="s">
        <v>291</v>
      </c>
      <c r="C143" s="3" t="s">
        <v>273</v>
      </c>
      <c r="D143" s="3">
        <v>310</v>
      </c>
      <c r="E143" s="3">
        <v>0</v>
      </c>
      <c r="F143" s="3">
        <v>0.5</v>
      </c>
      <c r="G143" s="3">
        <v>1</v>
      </c>
      <c r="H143" s="3">
        <v>0</v>
      </c>
      <c r="I143" s="3">
        <v>0</v>
      </c>
      <c r="J143" s="3">
        <v>0</v>
      </c>
      <c r="K143" s="3">
        <v>10</v>
      </c>
      <c r="L143">
        <f>IFERROR(VALUE(LEFT(C143,FIND(" ",C143)-1)), "")</f>
        <v>20</v>
      </c>
    </row>
    <row r="144" spans="1:12" x14ac:dyDescent="0.3">
      <c r="A144" s="3" t="s">
        <v>258</v>
      </c>
      <c r="B144" s="3" t="s">
        <v>292</v>
      </c>
      <c r="C144" s="3" t="s">
        <v>233</v>
      </c>
      <c r="D144" s="3">
        <v>200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5</v>
      </c>
      <c r="L144">
        <f>IFERROR(VALUE(LEFT(C144,FIND(" ",C144)-1)), "")</f>
        <v>12</v>
      </c>
    </row>
    <row r="145" spans="1:12" x14ac:dyDescent="0.3">
      <c r="A145" s="3" t="s">
        <v>258</v>
      </c>
      <c r="B145" s="3" t="s">
        <v>293</v>
      </c>
      <c r="C145" s="3" t="s">
        <v>227</v>
      </c>
      <c r="D145" s="3">
        <v>250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5</v>
      </c>
      <c r="L145">
        <f>IFERROR(VALUE(LEFT(C145,FIND(" ",C145)-1)), "")</f>
        <v>16</v>
      </c>
    </row>
    <row r="146" spans="1:12" x14ac:dyDescent="0.3">
      <c r="A146" s="3" t="s">
        <v>258</v>
      </c>
      <c r="B146" s="3" t="s">
        <v>294</v>
      </c>
      <c r="C146" s="3" t="s">
        <v>273</v>
      </c>
      <c r="D146" s="3">
        <v>310</v>
      </c>
      <c r="E146" s="3">
        <v>0</v>
      </c>
      <c r="F146" s="3">
        <v>0.5</v>
      </c>
      <c r="G146" s="3">
        <v>1</v>
      </c>
      <c r="H146" s="3">
        <v>0</v>
      </c>
      <c r="I146" s="3">
        <v>0</v>
      </c>
      <c r="J146" s="3">
        <v>0</v>
      </c>
      <c r="K146" s="3">
        <v>10</v>
      </c>
      <c r="L146">
        <f>IFERROR(VALUE(LEFT(C146,FIND(" ",C146)-1)), "")</f>
        <v>20</v>
      </c>
    </row>
    <row r="147" spans="1:12" x14ac:dyDescent="0.3">
      <c r="A147" s="3" t="s">
        <v>258</v>
      </c>
      <c r="B147" s="3" t="s">
        <v>295</v>
      </c>
      <c r="C147" s="3" t="s">
        <v>233</v>
      </c>
      <c r="D147" s="3">
        <v>190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5</v>
      </c>
      <c r="L147">
        <f>IFERROR(VALUE(LEFT(C147,FIND(" ",C147)-1)), "")</f>
        <v>12</v>
      </c>
    </row>
    <row r="148" spans="1:12" x14ac:dyDescent="0.3">
      <c r="A148" s="3" t="s">
        <v>258</v>
      </c>
      <c r="B148" s="3" t="s">
        <v>296</v>
      </c>
      <c r="C148" s="3" t="s">
        <v>227</v>
      </c>
      <c r="D148" s="3">
        <v>240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5</v>
      </c>
      <c r="L148">
        <f>IFERROR(VALUE(LEFT(C148,FIND(" ",C148)-1)), "")</f>
        <v>16</v>
      </c>
    </row>
    <row r="149" spans="1:12" x14ac:dyDescent="0.3">
      <c r="A149" s="3" t="s">
        <v>258</v>
      </c>
      <c r="B149" s="3" t="s">
        <v>297</v>
      </c>
      <c r="C149" s="3" t="s">
        <v>273</v>
      </c>
      <c r="D149" s="3">
        <v>300</v>
      </c>
      <c r="E149" s="3">
        <v>0</v>
      </c>
      <c r="F149" s="3">
        <v>0.5</v>
      </c>
      <c r="G149" s="3">
        <v>1</v>
      </c>
      <c r="H149" s="3">
        <v>0</v>
      </c>
      <c r="I149" s="3">
        <v>0</v>
      </c>
      <c r="J149" s="3">
        <v>0</v>
      </c>
      <c r="K149" s="3">
        <v>10</v>
      </c>
      <c r="L149">
        <f>IFERROR(VALUE(LEFT(C149,FIND(" ",C149)-1)), "")</f>
        <v>20</v>
      </c>
    </row>
    <row r="150" spans="1:12" x14ac:dyDescent="0.3">
      <c r="A150" s="3" t="s">
        <v>258</v>
      </c>
      <c r="B150" s="3" t="s">
        <v>298</v>
      </c>
      <c r="C150" s="3" t="s">
        <v>233</v>
      </c>
      <c r="D150" s="3">
        <v>140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5</v>
      </c>
      <c r="L150">
        <f>IFERROR(VALUE(LEFT(C150,FIND(" ",C150)-1)), "")</f>
        <v>12</v>
      </c>
    </row>
    <row r="151" spans="1:12" x14ac:dyDescent="0.3">
      <c r="A151" s="3" t="s">
        <v>258</v>
      </c>
      <c r="B151" s="3" t="s">
        <v>299</v>
      </c>
      <c r="C151" s="3" t="s">
        <v>227</v>
      </c>
      <c r="D151" s="3">
        <v>170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5</v>
      </c>
      <c r="L151">
        <f>IFERROR(VALUE(LEFT(C151,FIND(" ",C151)-1)), "")</f>
        <v>16</v>
      </c>
    </row>
    <row r="152" spans="1:12" x14ac:dyDescent="0.3">
      <c r="A152" s="3" t="s">
        <v>258</v>
      </c>
      <c r="B152" s="3" t="s">
        <v>300</v>
      </c>
      <c r="C152" s="3" t="s">
        <v>273</v>
      </c>
      <c r="D152" s="3">
        <v>220</v>
      </c>
      <c r="E152" s="3">
        <v>0</v>
      </c>
      <c r="F152" s="3">
        <v>0.5</v>
      </c>
      <c r="G152" s="3">
        <v>1</v>
      </c>
      <c r="H152" s="3">
        <v>0</v>
      </c>
      <c r="I152" s="3">
        <v>0</v>
      </c>
      <c r="J152" s="3">
        <v>0</v>
      </c>
      <c r="K152" s="3">
        <v>10</v>
      </c>
      <c r="L152">
        <f>IFERROR(VALUE(LEFT(C152,FIND(" ",C152)-1)), "")</f>
        <v>20</v>
      </c>
    </row>
    <row r="153" spans="1:12" x14ac:dyDescent="0.3">
      <c r="A153" s="3" t="s">
        <v>258</v>
      </c>
      <c r="B153" s="3" t="s">
        <v>301</v>
      </c>
      <c r="C153" s="3" t="s">
        <v>233</v>
      </c>
      <c r="D153" s="3">
        <v>340</v>
      </c>
      <c r="E153" s="3">
        <v>100</v>
      </c>
      <c r="F153" s="3">
        <v>11</v>
      </c>
      <c r="G153" s="3">
        <v>18</v>
      </c>
      <c r="H153" s="3">
        <v>7</v>
      </c>
      <c r="I153" s="3">
        <v>34</v>
      </c>
      <c r="J153" s="3">
        <v>0</v>
      </c>
      <c r="K153" s="3">
        <v>35</v>
      </c>
      <c r="L153">
        <f>IFERROR(VALUE(LEFT(C153,FIND(" ",C153)-1)), "")</f>
        <v>12</v>
      </c>
    </row>
    <row r="154" spans="1:12" x14ac:dyDescent="0.3">
      <c r="A154" s="3" t="s">
        <v>258</v>
      </c>
      <c r="B154" s="3" t="s">
        <v>302</v>
      </c>
      <c r="C154" s="3" t="s">
        <v>227</v>
      </c>
      <c r="D154" s="3">
        <v>410</v>
      </c>
      <c r="E154" s="3">
        <v>120</v>
      </c>
      <c r="F154" s="3">
        <v>14</v>
      </c>
      <c r="G154" s="3">
        <v>21</v>
      </c>
      <c r="H154" s="3">
        <v>8</v>
      </c>
      <c r="I154" s="3">
        <v>40</v>
      </c>
      <c r="J154" s="3">
        <v>0</v>
      </c>
      <c r="K154" s="3">
        <v>40</v>
      </c>
      <c r="L154">
        <f>IFERROR(VALUE(LEFT(C154,FIND(" ",C154)-1)), "")</f>
        <v>16</v>
      </c>
    </row>
    <row r="155" spans="1:12" x14ac:dyDescent="0.3">
      <c r="A155" s="3" t="s">
        <v>258</v>
      </c>
      <c r="B155" s="3" t="s">
        <v>303</v>
      </c>
      <c r="C155" s="3" t="s">
        <v>273</v>
      </c>
      <c r="D155" s="3">
        <v>500</v>
      </c>
      <c r="E155" s="3">
        <v>150</v>
      </c>
      <c r="F155" s="3">
        <v>17</v>
      </c>
      <c r="G155" s="3">
        <v>26</v>
      </c>
      <c r="H155" s="3">
        <v>10</v>
      </c>
      <c r="I155" s="3">
        <v>49</v>
      </c>
      <c r="J155" s="3">
        <v>0.5</v>
      </c>
      <c r="K155" s="3">
        <v>50</v>
      </c>
      <c r="L155">
        <f>IFERROR(VALUE(LEFT(C155,FIND(" ",C155)-1)), "")</f>
        <v>20</v>
      </c>
    </row>
    <row r="156" spans="1:12" x14ac:dyDescent="0.3">
      <c r="A156" s="3" t="s">
        <v>258</v>
      </c>
      <c r="B156" s="3" t="s">
        <v>304</v>
      </c>
      <c r="C156" s="3" t="s">
        <v>233</v>
      </c>
      <c r="D156" s="3">
        <v>270</v>
      </c>
      <c r="E156" s="3">
        <v>30</v>
      </c>
      <c r="F156" s="3">
        <v>3.5</v>
      </c>
      <c r="G156" s="3">
        <v>5</v>
      </c>
      <c r="H156" s="3">
        <v>2</v>
      </c>
      <c r="I156" s="3">
        <v>11</v>
      </c>
      <c r="J156" s="3">
        <v>0</v>
      </c>
      <c r="K156" s="3">
        <v>15</v>
      </c>
      <c r="L156">
        <f>IFERROR(VALUE(LEFT(C156,FIND(" ",C156)-1)), "")</f>
        <v>12</v>
      </c>
    </row>
    <row r="157" spans="1:12" x14ac:dyDescent="0.3">
      <c r="A157" s="3" t="s">
        <v>258</v>
      </c>
      <c r="B157" s="3" t="s">
        <v>305</v>
      </c>
      <c r="C157" s="3" t="s">
        <v>227</v>
      </c>
      <c r="D157" s="3">
        <v>330</v>
      </c>
      <c r="E157" s="3">
        <v>30</v>
      </c>
      <c r="F157" s="3">
        <v>3.5</v>
      </c>
      <c r="G157" s="3">
        <v>6</v>
      </c>
      <c r="H157" s="3">
        <v>2</v>
      </c>
      <c r="I157" s="3">
        <v>11</v>
      </c>
      <c r="J157" s="3">
        <v>0</v>
      </c>
      <c r="K157" s="3">
        <v>15</v>
      </c>
      <c r="L157">
        <f>IFERROR(VALUE(LEFT(C157,FIND(" ",C157)-1)), "")</f>
        <v>16</v>
      </c>
    </row>
    <row r="158" spans="1:12" x14ac:dyDescent="0.3">
      <c r="A158" s="3" t="s">
        <v>258</v>
      </c>
      <c r="B158" s="3" t="s">
        <v>306</v>
      </c>
      <c r="C158" s="3" t="s">
        <v>273</v>
      </c>
      <c r="D158" s="3">
        <v>390</v>
      </c>
      <c r="E158" s="3">
        <v>35</v>
      </c>
      <c r="F158" s="3">
        <v>4</v>
      </c>
      <c r="G158" s="3">
        <v>6</v>
      </c>
      <c r="H158" s="3">
        <v>2.5</v>
      </c>
      <c r="I158" s="3">
        <v>12</v>
      </c>
      <c r="J158" s="3">
        <v>0</v>
      </c>
      <c r="K158" s="3">
        <v>20</v>
      </c>
      <c r="L158">
        <f>IFERROR(VALUE(LEFT(C158,FIND(" ",C158)-1)), "")</f>
        <v>20</v>
      </c>
    </row>
    <row r="159" spans="1:12" x14ac:dyDescent="0.3">
      <c r="A159" s="3" t="s">
        <v>258</v>
      </c>
      <c r="B159" s="3" t="s">
        <v>307</v>
      </c>
      <c r="C159" s="3" t="s">
        <v>233</v>
      </c>
      <c r="D159" s="3">
        <v>320</v>
      </c>
      <c r="E159" s="3">
        <v>100</v>
      </c>
      <c r="F159" s="3">
        <v>11</v>
      </c>
      <c r="G159" s="3">
        <v>17</v>
      </c>
      <c r="H159" s="3">
        <v>7</v>
      </c>
      <c r="I159" s="3">
        <v>33</v>
      </c>
      <c r="J159" s="3">
        <v>0</v>
      </c>
      <c r="K159" s="3">
        <v>35</v>
      </c>
      <c r="L159">
        <f>IFERROR(VALUE(LEFT(C159,FIND(" ",C159)-1)), "")</f>
        <v>12</v>
      </c>
    </row>
    <row r="160" spans="1:12" x14ac:dyDescent="0.3">
      <c r="A160" s="3" t="s">
        <v>258</v>
      </c>
      <c r="B160" s="3" t="s">
        <v>308</v>
      </c>
      <c r="C160" s="3" t="s">
        <v>227</v>
      </c>
      <c r="D160" s="3">
        <v>390</v>
      </c>
      <c r="E160" s="3">
        <v>120</v>
      </c>
      <c r="F160" s="3">
        <v>14</v>
      </c>
      <c r="G160" s="3">
        <v>21</v>
      </c>
      <c r="H160" s="3">
        <v>8</v>
      </c>
      <c r="I160" s="3">
        <v>40</v>
      </c>
      <c r="J160" s="3">
        <v>0.5</v>
      </c>
      <c r="K160" s="3">
        <v>40</v>
      </c>
      <c r="L160">
        <f>IFERROR(VALUE(LEFT(C160,FIND(" ",C160)-1)), "")</f>
        <v>16</v>
      </c>
    </row>
    <row r="161" spans="1:12" x14ac:dyDescent="0.3">
      <c r="A161" s="3" t="s">
        <v>258</v>
      </c>
      <c r="B161" s="3" t="s">
        <v>309</v>
      </c>
      <c r="C161" s="3" t="s">
        <v>273</v>
      </c>
      <c r="D161" s="3">
        <v>480</v>
      </c>
      <c r="E161" s="3">
        <v>150</v>
      </c>
      <c r="F161" s="3">
        <v>17</v>
      </c>
      <c r="G161" s="3">
        <v>26</v>
      </c>
      <c r="H161" s="3">
        <v>10</v>
      </c>
      <c r="I161" s="3">
        <v>49</v>
      </c>
      <c r="J161" s="3">
        <v>0.5</v>
      </c>
      <c r="K161" s="3">
        <v>50</v>
      </c>
      <c r="L161">
        <f>IFERROR(VALUE(LEFT(C161,FIND(" ",C161)-1)), "")</f>
        <v>20</v>
      </c>
    </row>
    <row r="162" spans="1:12" x14ac:dyDescent="0.3">
      <c r="A162" s="3" t="s">
        <v>258</v>
      </c>
      <c r="B162" s="3" t="s">
        <v>310</v>
      </c>
      <c r="C162" s="3" t="s">
        <v>233</v>
      </c>
      <c r="D162" s="3">
        <v>250</v>
      </c>
      <c r="E162" s="3">
        <v>30</v>
      </c>
      <c r="F162" s="3">
        <v>3.5</v>
      </c>
      <c r="G162" s="3">
        <v>5</v>
      </c>
      <c r="H162" s="3">
        <v>2</v>
      </c>
      <c r="I162" s="3">
        <v>10</v>
      </c>
      <c r="J162" s="3">
        <v>0</v>
      </c>
      <c r="K162" s="3">
        <v>15</v>
      </c>
      <c r="L162">
        <f>IFERROR(VALUE(LEFT(C162,FIND(" ",C162)-1)), "")</f>
        <v>12</v>
      </c>
    </row>
    <row r="163" spans="1:12" x14ac:dyDescent="0.3">
      <c r="A163" s="3" t="s">
        <v>258</v>
      </c>
      <c r="B163" s="3" t="s">
        <v>311</v>
      </c>
      <c r="C163" s="3" t="s">
        <v>227</v>
      </c>
      <c r="D163" s="3">
        <v>310</v>
      </c>
      <c r="E163" s="3">
        <v>30</v>
      </c>
      <c r="F163" s="3">
        <v>3.5</v>
      </c>
      <c r="G163" s="3">
        <v>5</v>
      </c>
      <c r="H163" s="3">
        <v>2</v>
      </c>
      <c r="I163" s="3">
        <v>11</v>
      </c>
      <c r="J163" s="3">
        <v>0</v>
      </c>
      <c r="K163" s="3">
        <v>15</v>
      </c>
      <c r="L163">
        <f>IFERROR(VALUE(LEFT(C163,FIND(" ",C163)-1)), "")</f>
        <v>16</v>
      </c>
    </row>
    <row r="164" spans="1:12" x14ac:dyDescent="0.3">
      <c r="A164" s="3" t="s">
        <v>258</v>
      </c>
      <c r="B164" s="3" t="s">
        <v>312</v>
      </c>
      <c r="C164" s="3" t="s">
        <v>273</v>
      </c>
      <c r="D164" s="3">
        <v>370</v>
      </c>
      <c r="E164" s="3">
        <v>35</v>
      </c>
      <c r="F164" s="3">
        <v>3.5</v>
      </c>
      <c r="G164" s="3">
        <v>6</v>
      </c>
      <c r="H164" s="3">
        <v>2.5</v>
      </c>
      <c r="I164" s="3">
        <v>11</v>
      </c>
      <c r="J164" s="3">
        <v>0</v>
      </c>
      <c r="K164" s="3">
        <v>20</v>
      </c>
      <c r="L164">
        <f>IFERROR(VALUE(LEFT(C164,FIND(" ",C164)-1)), "")</f>
        <v>20</v>
      </c>
    </row>
    <row r="165" spans="1:12" x14ac:dyDescent="0.3">
      <c r="A165" s="3" t="s">
        <v>258</v>
      </c>
      <c r="B165" s="3" t="s">
        <v>313</v>
      </c>
      <c r="C165" s="3" t="s">
        <v>233</v>
      </c>
      <c r="D165" s="3">
        <v>360</v>
      </c>
      <c r="E165" s="3">
        <v>120</v>
      </c>
      <c r="F165" s="3">
        <v>13</v>
      </c>
      <c r="G165" s="3">
        <v>21</v>
      </c>
      <c r="H165" s="3">
        <v>8</v>
      </c>
      <c r="I165" s="3">
        <v>39</v>
      </c>
      <c r="J165" s="3">
        <v>0</v>
      </c>
      <c r="K165" s="3">
        <v>40</v>
      </c>
      <c r="L165">
        <f>IFERROR(VALUE(LEFT(C165,FIND(" ",C165)-1)), "")</f>
        <v>12</v>
      </c>
    </row>
    <row r="166" spans="1:12" x14ac:dyDescent="0.3">
      <c r="A166" s="3" t="s">
        <v>258</v>
      </c>
      <c r="B166" s="3" t="s">
        <v>314</v>
      </c>
      <c r="C166" s="3" t="s">
        <v>227</v>
      </c>
      <c r="D166" s="3">
        <v>440</v>
      </c>
      <c r="E166" s="3">
        <v>140</v>
      </c>
      <c r="F166" s="3">
        <v>16</v>
      </c>
      <c r="G166" s="3">
        <v>25</v>
      </c>
      <c r="H166" s="3">
        <v>9</v>
      </c>
      <c r="I166" s="3">
        <v>47</v>
      </c>
      <c r="J166" s="3">
        <v>0.5</v>
      </c>
      <c r="K166" s="3">
        <v>50</v>
      </c>
      <c r="L166">
        <f>IFERROR(VALUE(LEFT(C166,FIND(" ",C166)-1)), "")</f>
        <v>16</v>
      </c>
    </row>
    <row r="167" spans="1:12" x14ac:dyDescent="0.3">
      <c r="A167" s="3" t="s">
        <v>258</v>
      </c>
      <c r="B167" s="3" t="s">
        <v>315</v>
      </c>
      <c r="C167" s="3" t="s">
        <v>273</v>
      </c>
      <c r="D167" s="3">
        <v>540</v>
      </c>
      <c r="E167" s="3">
        <v>180</v>
      </c>
      <c r="F167" s="3">
        <v>20</v>
      </c>
      <c r="G167" s="3">
        <v>31</v>
      </c>
      <c r="H167" s="3">
        <v>12</v>
      </c>
      <c r="I167" s="3">
        <v>58</v>
      </c>
      <c r="J167" s="3">
        <v>0.5</v>
      </c>
      <c r="K167" s="3">
        <v>60</v>
      </c>
      <c r="L167">
        <f>IFERROR(VALUE(LEFT(C167,FIND(" ",C167)-1)), "")</f>
        <v>20</v>
      </c>
    </row>
    <row r="168" spans="1:12" x14ac:dyDescent="0.3">
      <c r="A168" s="3" t="s">
        <v>258</v>
      </c>
      <c r="B168" s="3" t="s">
        <v>316</v>
      </c>
      <c r="C168" s="3" t="s">
        <v>233</v>
      </c>
      <c r="D168" s="3">
        <v>280</v>
      </c>
      <c r="E168" s="3">
        <v>30</v>
      </c>
      <c r="F168" s="3">
        <v>3.5</v>
      </c>
      <c r="G168" s="3">
        <v>5</v>
      </c>
      <c r="H168" s="3">
        <v>2</v>
      </c>
      <c r="I168" s="3">
        <v>11</v>
      </c>
      <c r="J168" s="3">
        <v>0</v>
      </c>
      <c r="K168" s="3">
        <v>15</v>
      </c>
      <c r="L168">
        <f>IFERROR(VALUE(LEFT(C168,FIND(" ",C168)-1)), "")</f>
        <v>12</v>
      </c>
    </row>
    <row r="169" spans="1:12" x14ac:dyDescent="0.3">
      <c r="A169" s="3" t="s">
        <v>258</v>
      </c>
      <c r="B169" s="3" t="s">
        <v>317</v>
      </c>
      <c r="C169" s="3" t="s">
        <v>227</v>
      </c>
      <c r="D169" s="3">
        <v>340</v>
      </c>
      <c r="E169" s="3">
        <v>30</v>
      </c>
      <c r="F169" s="3">
        <v>3.5</v>
      </c>
      <c r="G169" s="3">
        <v>5</v>
      </c>
      <c r="H169" s="3">
        <v>2</v>
      </c>
      <c r="I169" s="3">
        <v>11</v>
      </c>
      <c r="J169" s="3">
        <v>0</v>
      </c>
      <c r="K169" s="3">
        <v>15</v>
      </c>
      <c r="L169">
        <f>IFERROR(VALUE(LEFT(C169,FIND(" ",C169)-1)), "")</f>
        <v>16</v>
      </c>
    </row>
    <row r="170" spans="1:12" x14ac:dyDescent="0.3">
      <c r="A170" s="3" t="s">
        <v>258</v>
      </c>
      <c r="B170" s="3" t="s">
        <v>318</v>
      </c>
      <c r="C170" s="3" t="s">
        <v>273</v>
      </c>
      <c r="D170" s="3">
        <v>400</v>
      </c>
      <c r="E170" s="3">
        <v>35</v>
      </c>
      <c r="F170" s="3">
        <v>3.5</v>
      </c>
      <c r="G170" s="3">
        <v>6</v>
      </c>
      <c r="H170" s="3">
        <v>2.5</v>
      </c>
      <c r="I170" s="3">
        <v>12</v>
      </c>
      <c r="J170" s="3">
        <v>0</v>
      </c>
      <c r="K170" s="3">
        <v>20</v>
      </c>
      <c r="L170">
        <f>IFERROR(VALUE(LEFT(C170,FIND(" ",C170)-1)), "")</f>
        <v>20</v>
      </c>
    </row>
    <row r="171" spans="1:12" x14ac:dyDescent="0.3">
      <c r="A171" s="3" t="s">
        <v>258</v>
      </c>
      <c r="B171" s="3" t="s">
        <v>319</v>
      </c>
      <c r="C171" s="3" t="s">
        <v>227</v>
      </c>
      <c r="D171" s="3">
        <v>140</v>
      </c>
      <c r="E171" s="3">
        <v>40</v>
      </c>
      <c r="F171" s="3">
        <v>4.5</v>
      </c>
      <c r="G171" s="3">
        <v>7</v>
      </c>
      <c r="H171" s="3">
        <v>3</v>
      </c>
      <c r="I171" s="3">
        <v>15</v>
      </c>
      <c r="J171" s="3">
        <v>0</v>
      </c>
      <c r="K171" s="3">
        <v>15</v>
      </c>
      <c r="L171">
        <f>IFERROR(VALUE(LEFT(C171,FIND(" ",C171)-1)), "")</f>
        <v>16</v>
      </c>
    </row>
    <row r="172" spans="1:12" x14ac:dyDescent="0.3">
      <c r="A172" s="3" t="s">
        <v>258</v>
      </c>
      <c r="B172" s="3" t="s">
        <v>320</v>
      </c>
      <c r="C172" s="3" t="s">
        <v>256</v>
      </c>
      <c r="D172" s="3">
        <v>190</v>
      </c>
      <c r="E172" s="3">
        <v>60</v>
      </c>
      <c r="F172" s="3">
        <v>7</v>
      </c>
      <c r="G172" s="3">
        <v>11</v>
      </c>
      <c r="H172" s="3">
        <v>4.5</v>
      </c>
      <c r="I172" s="3">
        <v>22</v>
      </c>
      <c r="J172" s="3">
        <v>0</v>
      </c>
      <c r="K172" s="3">
        <v>25</v>
      </c>
      <c r="L172">
        <f>IFERROR(VALUE(LEFT(C172,FIND(" ",C172)-1)), "")</f>
        <v>22</v>
      </c>
    </row>
    <row r="173" spans="1:12" x14ac:dyDescent="0.3">
      <c r="A173" s="3" t="s">
        <v>258</v>
      </c>
      <c r="B173" s="3" t="s">
        <v>321</v>
      </c>
      <c r="C173" s="3" t="s">
        <v>322</v>
      </c>
      <c r="D173" s="3">
        <v>270</v>
      </c>
      <c r="E173" s="3">
        <v>80</v>
      </c>
      <c r="F173" s="3">
        <v>9</v>
      </c>
      <c r="G173" s="3">
        <v>14</v>
      </c>
      <c r="H173" s="3">
        <v>6</v>
      </c>
      <c r="I173" s="3">
        <v>29</v>
      </c>
      <c r="J173" s="3">
        <v>0</v>
      </c>
      <c r="K173" s="3">
        <v>35</v>
      </c>
      <c r="L173">
        <f>IFERROR(VALUE(LEFT(C173,FIND(" ",C173)-1)), "")</f>
        <v>32</v>
      </c>
    </row>
    <row r="174" spans="1:12" x14ac:dyDescent="0.3">
      <c r="A174" s="3" t="s">
        <v>258</v>
      </c>
      <c r="B174" s="3" t="s">
        <v>323</v>
      </c>
      <c r="C174" s="3" t="s">
        <v>227</v>
      </c>
      <c r="D174" s="3">
        <v>130</v>
      </c>
      <c r="E174" s="3">
        <v>40</v>
      </c>
      <c r="F174" s="3">
        <v>4.5</v>
      </c>
      <c r="G174" s="3">
        <v>7</v>
      </c>
      <c r="H174" s="3">
        <v>3</v>
      </c>
      <c r="I174" s="3">
        <v>15</v>
      </c>
      <c r="J174" s="3">
        <v>0</v>
      </c>
      <c r="K174" s="3">
        <v>15</v>
      </c>
      <c r="L174">
        <f>IFERROR(VALUE(LEFT(C174,FIND(" ",C174)-1)), "")</f>
        <v>16</v>
      </c>
    </row>
    <row r="175" spans="1:12" x14ac:dyDescent="0.3">
      <c r="A175" s="3" t="s">
        <v>258</v>
      </c>
      <c r="B175" s="3" t="s">
        <v>324</v>
      </c>
      <c r="C175" s="3" t="s">
        <v>256</v>
      </c>
      <c r="D175" s="3">
        <v>180</v>
      </c>
      <c r="E175" s="3">
        <v>60</v>
      </c>
      <c r="F175" s="3">
        <v>7</v>
      </c>
      <c r="G175" s="3">
        <v>11</v>
      </c>
      <c r="H175" s="3">
        <v>4.5</v>
      </c>
      <c r="I175" s="3">
        <v>22</v>
      </c>
      <c r="J175" s="3">
        <v>0</v>
      </c>
      <c r="K175" s="3">
        <v>25</v>
      </c>
      <c r="L175">
        <f>IFERROR(VALUE(LEFT(C175,FIND(" ",C175)-1)), "")</f>
        <v>22</v>
      </c>
    </row>
    <row r="176" spans="1:12" x14ac:dyDescent="0.3">
      <c r="A176" s="3" t="s">
        <v>258</v>
      </c>
      <c r="B176" s="3" t="s">
        <v>325</v>
      </c>
      <c r="C176" s="3" t="s">
        <v>322</v>
      </c>
      <c r="D176" s="3">
        <v>260</v>
      </c>
      <c r="E176" s="3">
        <v>80</v>
      </c>
      <c r="F176" s="3">
        <v>9</v>
      </c>
      <c r="G176" s="3">
        <v>14</v>
      </c>
      <c r="H176" s="3">
        <v>6</v>
      </c>
      <c r="I176" s="3">
        <v>29</v>
      </c>
      <c r="J176" s="3">
        <v>0</v>
      </c>
      <c r="K176" s="3">
        <v>35</v>
      </c>
      <c r="L176">
        <f>IFERROR(VALUE(LEFT(C176,FIND(" ",C176)-1)), "")</f>
        <v>32</v>
      </c>
    </row>
    <row r="177" spans="1:12" x14ac:dyDescent="0.3">
      <c r="A177" s="3" t="s">
        <v>258</v>
      </c>
      <c r="B177" s="3" t="s">
        <v>326</v>
      </c>
      <c r="C177" s="3" t="s">
        <v>227</v>
      </c>
      <c r="D177" s="3">
        <v>130</v>
      </c>
      <c r="E177" s="3">
        <v>40</v>
      </c>
      <c r="F177" s="3">
        <v>4.5</v>
      </c>
      <c r="G177" s="3">
        <v>7</v>
      </c>
      <c r="H177" s="3">
        <v>3</v>
      </c>
      <c r="I177" s="3">
        <v>15</v>
      </c>
      <c r="J177" s="3">
        <v>0</v>
      </c>
      <c r="K177" s="3">
        <v>15</v>
      </c>
      <c r="L177">
        <f>IFERROR(VALUE(LEFT(C177,FIND(" ",C177)-1)), "")</f>
        <v>16</v>
      </c>
    </row>
    <row r="178" spans="1:12" x14ac:dyDescent="0.3">
      <c r="A178" s="3" t="s">
        <v>258</v>
      </c>
      <c r="B178" s="3" t="s">
        <v>327</v>
      </c>
      <c r="C178" s="3" t="s">
        <v>256</v>
      </c>
      <c r="D178" s="3">
        <v>180</v>
      </c>
      <c r="E178" s="3">
        <v>60</v>
      </c>
      <c r="F178" s="3">
        <v>7</v>
      </c>
      <c r="G178" s="3">
        <v>11</v>
      </c>
      <c r="H178" s="3">
        <v>4.5</v>
      </c>
      <c r="I178" s="3">
        <v>22</v>
      </c>
      <c r="J178" s="3">
        <v>0</v>
      </c>
      <c r="K178" s="3">
        <v>25</v>
      </c>
      <c r="L178">
        <f>IFERROR(VALUE(LEFT(C178,FIND(" ",C178)-1)), "")</f>
        <v>22</v>
      </c>
    </row>
    <row r="179" spans="1:12" x14ac:dyDescent="0.3">
      <c r="A179" s="3" t="s">
        <v>258</v>
      </c>
      <c r="B179" s="3" t="s">
        <v>328</v>
      </c>
      <c r="C179" s="3" t="s">
        <v>322</v>
      </c>
      <c r="D179" s="3">
        <v>250</v>
      </c>
      <c r="E179" s="3">
        <v>80</v>
      </c>
      <c r="F179" s="3">
        <v>9</v>
      </c>
      <c r="G179" s="3">
        <v>14</v>
      </c>
      <c r="H179" s="3">
        <v>6</v>
      </c>
      <c r="I179" s="3">
        <v>29</v>
      </c>
      <c r="J179" s="3">
        <v>0</v>
      </c>
      <c r="K179" s="3">
        <v>35</v>
      </c>
      <c r="L179">
        <f>IFERROR(VALUE(LEFT(C179,FIND(" ",C179)-1)), "")</f>
        <v>32</v>
      </c>
    </row>
    <row r="180" spans="1:12" x14ac:dyDescent="0.3">
      <c r="A180" s="3" t="s">
        <v>258</v>
      </c>
      <c r="B180" s="3" t="s">
        <v>329</v>
      </c>
      <c r="C180" s="3" t="s">
        <v>227</v>
      </c>
      <c r="D180" s="3">
        <v>120</v>
      </c>
      <c r="E180" s="3">
        <v>40</v>
      </c>
      <c r="F180" s="3">
        <v>4.5</v>
      </c>
      <c r="G180" s="3">
        <v>7</v>
      </c>
      <c r="H180" s="3">
        <v>3</v>
      </c>
      <c r="I180" s="3">
        <v>15</v>
      </c>
      <c r="J180" s="3">
        <v>0</v>
      </c>
      <c r="K180" s="3">
        <v>15</v>
      </c>
      <c r="L180">
        <f>IFERROR(VALUE(LEFT(C180,FIND(" ",C180)-1)), "")</f>
        <v>16</v>
      </c>
    </row>
    <row r="181" spans="1:12" x14ac:dyDescent="0.3">
      <c r="A181" s="3" t="s">
        <v>258</v>
      </c>
      <c r="B181" s="3" t="s">
        <v>330</v>
      </c>
      <c r="C181" s="3" t="s">
        <v>256</v>
      </c>
      <c r="D181" s="3">
        <v>170</v>
      </c>
      <c r="E181" s="3">
        <v>60</v>
      </c>
      <c r="F181" s="3">
        <v>7</v>
      </c>
      <c r="G181" s="3">
        <v>11</v>
      </c>
      <c r="H181" s="3">
        <v>4.5</v>
      </c>
      <c r="I181" s="3">
        <v>22</v>
      </c>
      <c r="J181" s="3">
        <v>0</v>
      </c>
      <c r="K181" s="3">
        <v>25</v>
      </c>
      <c r="L181">
        <f>IFERROR(VALUE(LEFT(C181,FIND(" ",C181)-1)), "")</f>
        <v>22</v>
      </c>
    </row>
    <row r="182" spans="1:12" x14ac:dyDescent="0.3">
      <c r="A182" s="3" t="s">
        <v>258</v>
      </c>
      <c r="B182" s="3" t="s">
        <v>331</v>
      </c>
      <c r="C182" s="3" t="s">
        <v>322</v>
      </c>
      <c r="D182" s="3">
        <v>240</v>
      </c>
      <c r="E182" s="3">
        <v>80</v>
      </c>
      <c r="F182" s="3">
        <v>9</v>
      </c>
      <c r="G182" s="3">
        <v>14</v>
      </c>
      <c r="H182" s="3">
        <v>6</v>
      </c>
      <c r="I182" s="3">
        <v>29</v>
      </c>
      <c r="J182" s="3">
        <v>0</v>
      </c>
      <c r="K182" s="3">
        <v>35</v>
      </c>
      <c r="L182">
        <f>IFERROR(VALUE(LEFT(C182,FIND(" ",C182)-1)), "")</f>
        <v>32</v>
      </c>
    </row>
    <row r="183" spans="1:12" x14ac:dyDescent="0.3">
      <c r="A183" s="3" t="s">
        <v>258</v>
      </c>
      <c r="B183" s="3" t="s">
        <v>332</v>
      </c>
      <c r="C183" s="3" t="s">
        <v>227</v>
      </c>
      <c r="D183" s="3">
        <v>80</v>
      </c>
      <c r="E183" s="3">
        <v>40</v>
      </c>
      <c r="F183" s="3">
        <v>4.5</v>
      </c>
      <c r="G183" s="3">
        <v>7</v>
      </c>
      <c r="H183" s="3">
        <v>3</v>
      </c>
      <c r="I183" s="3">
        <v>15</v>
      </c>
      <c r="J183" s="3">
        <v>0</v>
      </c>
      <c r="K183" s="3">
        <v>15</v>
      </c>
      <c r="L183">
        <f>IFERROR(VALUE(LEFT(C183,FIND(" ",C183)-1)), "")</f>
        <v>16</v>
      </c>
    </row>
    <row r="184" spans="1:12" x14ac:dyDescent="0.3">
      <c r="A184" s="3" t="s">
        <v>258</v>
      </c>
      <c r="B184" s="3" t="s">
        <v>333</v>
      </c>
      <c r="C184" s="3" t="s">
        <v>256</v>
      </c>
      <c r="D184" s="3">
        <v>120</v>
      </c>
      <c r="E184" s="3">
        <v>60</v>
      </c>
      <c r="F184" s="3">
        <v>7</v>
      </c>
      <c r="G184" s="3">
        <v>11</v>
      </c>
      <c r="H184" s="3">
        <v>4.5</v>
      </c>
      <c r="I184" s="3">
        <v>22</v>
      </c>
      <c r="J184" s="3">
        <v>0</v>
      </c>
      <c r="K184" s="3">
        <v>25</v>
      </c>
      <c r="L184">
        <f>IFERROR(VALUE(LEFT(C184,FIND(" ",C184)-1)), "")</f>
        <v>22</v>
      </c>
    </row>
    <row r="185" spans="1:12" x14ac:dyDescent="0.3">
      <c r="A185" s="3" t="s">
        <v>258</v>
      </c>
      <c r="B185" s="3" t="s">
        <v>334</v>
      </c>
      <c r="C185" s="3" t="s">
        <v>322</v>
      </c>
      <c r="D185" s="3">
        <v>160</v>
      </c>
      <c r="E185" s="3">
        <v>80</v>
      </c>
      <c r="F185" s="3">
        <v>9</v>
      </c>
      <c r="G185" s="3">
        <v>14</v>
      </c>
      <c r="H185" s="3">
        <v>6</v>
      </c>
      <c r="I185" s="3">
        <v>29</v>
      </c>
      <c r="J185" s="3">
        <v>0</v>
      </c>
      <c r="K185" s="3">
        <v>35</v>
      </c>
      <c r="L185">
        <f>IFERROR(VALUE(LEFT(C185,FIND(" ",C185)-1)), "")</f>
        <v>32</v>
      </c>
    </row>
    <row r="186" spans="1:12" x14ac:dyDescent="0.3">
      <c r="A186" s="3" t="s">
        <v>258</v>
      </c>
      <c r="B186" s="3" t="s">
        <v>335</v>
      </c>
      <c r="C186" s="3" t="s">
        <v>233</v>
      </c>
      <c r="D186" s="3">
        <v>290</v>
      </c>
      <c r="E186" s="3">
        <v>100</v>
      </c>
      <c r="F186" s="3">
        <v>11</v>
      </c>
      <c r="G186" s="3">
        <v>17</v>
      </c>
      <c r="H186" s="3">
        <v>7</v>
      </c>
      <c r="I186" s="3">
        <v>33</v>
      </c>
      <c r="J186" s="3">
        <v>0</v>
      </c>
      <c r="K186" s="3">
        <v>35</v>
      </c>
      <c r="L186">
        <f>IFERROR(VALUE(LEFT(C186,FIND(" ",C186)-1)), "")</f>
        <v>12</v>
      </c>
    </row>
    <row r="187" spans="1:12" x14ac:dyDescent="0.3">
      <c r="A187" s="3" t="s">
        <v>258</v>
      </c>
      <c r="B187" s="3" t="s">
        <v>336</v>
      </c>
      <c r="C187" s="3" t="s">
        <v>227</v>
      </c>
      <c r="D187" s="3">
        <v>350</v>
      </c>
      <c r="E187" s="3">
        <v>110</v>
      </c>
      <c r="F187" s="3">
        <v>13</v>
      </c>
      <c r="G187" s="3">
        <v>19</v>
      </c>
      <c r="H187" s="3">
        <v>8</v>
      </c>
      <c r="I187" s="3">
        <v>38</v>
      </c>
      <c r="J187" s="3">
        <v>0</v>
      </c>
      <c r="K187" s="3">
        <v>40</v>
      </c>
      <c r="L187">
        <f>IFERROR(VALUE(LEFT(C187,FIND(" ",C187)-1)), "")</f>
        <v>16</v>
      </c>
    </row>
    <row r="188" spans="1:12" x14ac:dyDescent="0.3">
      <c r="A188" s="3" t="s">
        <v>258</v>
      </c>
      <c r="B188" s="3" t="s">
        <v>337</v>
      </c>
      <c r="C188" s="3" t="s">
        <v>256</v>
      </c>
      <c r="D188" s="3">
        <v>480</v>
      </c>
      <c r="E188" s="3">
        <v>150</v>
      </c>
      <c r="F188" s="3">
        <v>16</v>
      </c>
      <c r="G188" s="3">
        <v>25</v>
      </c>
      <c r="H188" s="3">
        <v>10</v>
      </c>
      <c r="I188" s="3">
        <v>49</v>
      </c>
      <c r="J188" s="3">
        <v>0.5</v>
      </c>
      <c r="K188" s="3">
        <v>50</v>
      </c>
      <c r="L188">
        <f>IFERROR(VALUE(LEFT(C188,FIND(" ",C188)-1)), "")</f>
        <v>22</v>
      </c>
    </row>
    <row r="189" spans="1:12" x14ac:dyDescent="0.3">
      <c r="A189" s="3" t="s">
        <v>258</v>
      </c>
      <c r="B189" s="3" t="s">
        <v>338</v>
      </c>
      <c r="C189" s="3" t="s">
        <v>233</v>
      </c>
      <c r="D189" s="3">
        <v>240</v>
      </c>
      <c r="E189" s="3">
        <v>45</v>
      </c>
      <c r="F189" s="3">
        <v>5</v>
      </c>
      <c r="G189" s="3">
        <v>8</v>
      </c>
      <c r="H189" s="3">
        <v>3</v>
      </c>
      <c r="I189" s="3">
        <v>16</v>
      </c>
      <c r="J189" s="3">
        <v>0</v>
      </c>
      <c r="K189" s="3">
        <v>20</v>
      </c>
      <c r="L189">
        <f>IFERROR(VALUE(LEFT(C189,FIND(" ",C189)-1)), "")</f>
        <v>12</v>
      </c>
    </row>
    <row r="190" spans="1:12" x14ac:dyDescent="0.3">
      <c r="A190" s="3" t="s">
        <v>258</v>
      </c>
      <c r="B190" s="3" t="s">
        <v>339</v>
      </c>
      <c r="C190" s="3" t="s">
        <v>227</v>
      </c>
      <c r="D190" s="3">
        <v>290</v>
      </c>
      <c r="E190" s="3">
        <v>45</v>
      </c>
      <c r="F190" s="3">
        <v>5</v>
      </c>
      <c r="G190" s="3">
        <v>8</v>
      </c>
      <c r="H190" s="3">
        <v>3.5</v>
      </c>
      <c r="I190" s="3">
        <v>17</v>
      </c>
      <c r="J190" s="3">
        <v>0</v>
      </c>
      <c r="K190" s="3">
        <v>20</v>
      </c>
      <c r="L190">
        <f>IFERROR(VALUE(LEFT(C190,FIND(" ",C190)-1)), "")</f>
        <v>16</v>
      </c>
    </row>
    <row r="191" spans="1:12" x14ac:dyDescent="0.3">
      <c r="A191" s="3" t="s">
        <v>258</v>
      </c>
      <c r="B191" s="3" t="s">
        <v>340</v>
      </c>
      <c r="C191" s="3" t="s">
        <v>256</v>
      </c>
      <c r="D191" s="3">
        <v>390</v>
      </c>
      <c r="E191" s="3">
        <v>50</v>
      </c>
      <c r="F191" s="3">
        <v>6</v>
      </c>
      <c r="G191" s="3">
        <v>9</v>
      </c>
      <c r="H191" s="3">
        <v>3.5</v>
      </c>
      <c r="I191" s="3">
        <v>18</v>
      </c>
      <c r="J191" s="3">
        <v>0</v>
      </c>
      <c r="K191" s="3">
        <v>25</v>
      </c>
      <c r="L191">
        <f>IFERROR(VALUE(LEFT(C191,FIND(" ",C191)-1)), "")</f>
        <v>22</v>
      </c>
    </row>
    <row r="192" spans="1:12" x14ac:dyDescent="0.3">
      <c r="A192" s="3" t="s">
        <v>258</v>
      </c>
      <c r="B192" s="3" t="s">
        <v>341</v>
      </c>
      <c r="C192" s="3" t="s">
        <v>233</v>
      </c>
      <c r="D192" s="3">
        <v>280</v>
      </c>
      <c r="E192" s="3">
        <v>100</v>
      </c>
      <c r="F192" s="3">
        <v>11</v>
      </c>
      <c r="G192" s="3">
        <v>17</v>
      </c>
      <c r="H192" s="3">
        <v>7</v>
      </c>
      <c r="I192" s="3">
        <v>33</v>
      </c>
      <c r="J192" s="3">
        <v>0</v>
      </c>
      <c r="K192" s="3">
        <v>35</v>
      </c>
      <c r="L192">
        <f>IFERROR(VALUE(LEFT(C192,FIND(" ",C192)-1)), "")</f>
        <v>12</v>
      </c>
    </row>
    <row r="193" spans="1:12" x14ac:dyDescent="0.3">
      <c r="A193" s="3" t="s">
        <v>258</v>
      </c>
      <c r="B193" s="3" t="s">
        <v>342</v>
      </c>
      <c r="C193" s="3" t="s">
        <v>227</v>
      </c>
      <c r="D193" s="3">
        <v>340</v>
      </c>
      <c r="E193" s="3">
        <v>110</v>
      </c>
      <c r="F193" s="3">
        <v>13</v>
      </c>
      <c r="G193" s="3">
        <v>19</v>
      </c>
      <c r="H193" s="3">
        <v>7</v>
      </c>
      <c r="I193" s="3">
        <v>37</v>
      </c>
      <c r="J193" s="3">
        <v>0</v>
      </c>
      <c r="K193" s="3">
        <v>40</v>
      </c>
      <c r="L193">
        <f>IFERROR(VALUE(LEFT(C193,FIND(" ",C193)-1)), "")</f>
        <v>16</v>
      </c>
    </row>
    <row r="194" spans="1:12" x14ac:dyDescent="0.3">
      <c r="A194" s="3" t="s">
        <v>258</v>
      </c>
      <c r="B194" s="3" t="s">
        <v>343</v>
      </c>
      <c r="C194" s="3" t="s">
        <v>256</v>
      </c>
      <c r="D194" s="3">
        <v>460</v>
      </c>
      <c r="E194" s="3">
        <v>150</v>
      </c>
      <c r="F194" s="3">
        <v>16</v>
      </c>
      <c r="G194" s="3">
        <v>25</v>
      </c>
      <c r="H194" s="3">
        <v>10</v>
      </c>
      <c r="I194" s="3">
        <v>48</v>
      </c>
      <c r="J194" s="3">
        <v>0.5</v>
      </c>
      <c r="K194" s="3">
        <v>50</v>
      </c>
      <c r="L194">
        <f>IFERROR(VALUE(LEFT(C194,FIND(" ",C194)-1)), "")</f>
        <v>22</v>
      </c>
    </row>
    <row r="195" spans="1:12" x14ac:dyDescent="0.3">
      <c r="A195" s="3" t="s">
        <v>258</v>
      </c>
      <c r="B195" s="3" t="s">
        <v>344</v>
      </c>
      <c r="C195" s="3" t="s">
        <v>233</v>
      </c>
      <c r="D195" s="3">
        <v>230</v>
      </c>
      <c r="E195" s="3">
        <v>45</v>
      </c>
      <c r="F195" s="3">
        <v>5</v>
      </c>
      <c r="G195" s="3">
        <v>8</v>
      </c>
      <c r="H195" s="3">
        <v>3</v>
      </c>
      <c r="I195" s="3">
        <v>16</v>
      </c>
      <c r="J195" s="3">
        <v>0</v>
      </c>
      <c r="K195" s="3">
        <v>20</v>
      </c>
      <c r="L195">
        <f>IFERROR(VALUE(LEFT(C195,FIND(" ",C195)-1)), "")</f>
        <v>12</v>
      </c>
    </row>
    <row r="196" spans="1:12" x14ac:dyDescent="0.3">
      <c r="A196" s="3" t="s">
        <v>258</v>
      </c>
      <c r="B196" s="3" t="s">
        <v>345</v>
      </c>
      <c r="C196" s="3" t="s">
        <v>227</v>
      </c>
      <c r="D196" s="3">
        <v>270</v>
      </c>
      <c r="E196" s="3">
        <v>45</v>
      </c>
      <c r="F196" s="3">
        <v>5</v>
      </c>
      <c r="G196" s="3">
        <v>8</v>
      </c>
      <c r="H196" s="3">
        <v>3</v>
      </c>
      <c r="I196" s="3">
        <v>16</v>
      </c>
      <c r="J196" s="3">
        <v>0</v>
      </c>
      <c r="K196" s="3">
        <v>20</v>
      </c>
      <c r="L196">
        <f>IFERROR(VALUE(LEFT(C196,FIND(" ",C196)-1)), "")</f>
        <v>16</v>
      </c>
    </row>
    <row r="197" spans="1:12" x14ac:dyDescent="0.3">
      <c r="A197" s="3" t="s">
        <v>258</v>
      </c>
      <c r="B197" s="3" t="s">
        <v>346</v>
      </c>
      <c r="C197" s="3" t="s">
        <v>256</v>
      </c>
      <c r="D197" s="3">
        <v>370</v>
      </c>
      <c r="E197" s="3">
        <v>50</v>
      </c>
      <c r="F197" s="3">
        <v>6</v>
      </c>
      <c r="G197" s="3">
        <v>8</v>
      </c>
      <c r="H197" s="3">
        <v>3.5</v>
      </c>
      <c r="I197" s="3">
        <v>17</v>
      </c>
      <c r="J197" s="3">
        <v>0</v>
      </c>
      <c r="K197" s="3">
        <v>25</v>
      </c>
      <c r="L197">
        <f>IFERROR(VALUE(LEFT(C197,FIND(" ",C197)-1)), "")</f>
        <v>22</v>
      </c>
    </row>
    <row r="198" spans="1:12" x14ac:dyDescent="0.3">
      <c r="A198" s="3" t="s">
        <v>258</v>
      </c>
      <c r="B198" s="3" t="s">
        <v>347</v>
      </c>
      <c r="C198" s="3" t="s">
        <v>233</v>
      </c>
      <c r="D198" s="3">
        <v>450</v>
      </c>
      <c r="E198" s="3">
        <v>160</v>
      </c>
      <c r="F198" s="3">
        <v>18</v>
      </c>
      <c r="G198" s="3">
        <v>28</v>
      </c>
      <c r="H198" s="3">
        <v>12</v>
      </c>
      <c r="I198" s="3">
        <v>59</v>
      </c>
      <c r="J198" s="3">
        <v>1</v>
      </c>
      <c r="K198" s="3">
        <v>65</v>
      </c>
      <c r="L198">
        <f>IFERROR(VALUE(LEFT(C198,FIND(" ",C198)-1)), "")</f>
        <v>12</v>
      </c>
    </row>
    <row r="199" spans="1:12" x14ac:dyDescent="0.3">
      <c r="A199" s="3" t="s">
        <v>258</v>
      </c>
      <c r="B199" s="3" t="s">
        <v>348</v>
      </c>
      <c r="C199" s="3" t="s">
        <v>227</v>
      </c>
      <c r="D199" s="3">
        <v>550</v>
      </c>
      <c r="E199" s="3">
        <v>200</v>
      </c>
      <c r="F199" s="3">
        <v>22</v>
      </c>
      <c r="G199" s="3">
        <v>34</v>
      </c>
      <c r="H199" s="3">
        <v>14</v>
      </c>
      <c r="I199" s="3">
        <v>71</v>
      </c>
      <c r="J199" s="3">
        <v>1</v>
      </c>
      <c r="K199" s="3">
        <v>75</v>
      </c>
      <c r="L199">
        <f>IFERROR(VALUE(LEFT(C199,FIND(" ",C199)-1)), "")</f>
        <v>16</v>
      </c>
    </row>
    <row r="200" spans="1:12" x14ac:dyDescent="0.3">
      <c r="A200" s="3" t="s">
        <v>258</v>
      </c>
      <c r="B200" s="3" t="s">
        <v>349</v>
      </c>
      <c r="C200" s="3" t="s">
        <v>256</v>
      </c>
      <c r="D200" s="3">
        <v>670</v>
      </c>
      <c r="E200" s="3">
        <v>240</v>
      </c>
      <c r="F200" s="3">
        <v>26</v>
      </c>
      <c r="G200" s="3">
        <v>41</v>
      </c>
      <c r="H200" s="3">
        <v>17</v>
      </c>
      <c r="I200" s="3">
        <v>85</v>
      </c>
      <c r="J200" s="3">
        <v>1</v>
      </c>
      <c r="K200" s="3">
        <v>90</v>
      </c>
      <c r="L200">
        <f>IFERROR(VALUE(LEFT(C200,FIND(" ",C200)-1)), "")</f>
        <v>22</v>
      </c>
    </row>
    <row r="201" spans="1:12" x14ac:dyDescent="0.3">
      <c r="A201" s="3" t="s">
        <v>258</v>
      </c>
      <c r="B201" s="3" t="s">
        <v>350</v>
      </c>
      <c r="C201" s="3" t="s">
        <v>233</v>
      </c>
      <c r="D201" s="3">
        <v>450</v>
      </c>
      <c r="E201" s="3">
        <v>170</v>
      </c>
      <c r="F201" s="3">
        <v>19</v>
      </c>
      <c r="G201" s="3">
        <v>29</v>
      </c>
      <c r="H201" s="3">
        <v>12</v>
      </c>
      <c r="I201" s="3">
        <v>60</v>
      </c>
      <c r="J201" s="3">
        <v>1</v>
      </c>
      <c r="K201" s="3">
        <v>65</v>
      </c>
      <c r="L201">
        <f>IFERROR(VALUE(LEFT(C201,FIND(" ",C201)-1)), "")</f>
        <v>12</v>
      </c>
    </row>
    <row r="202" spans="1:12" x14ac:dyDescent="0.3">
      <c r="A202" s="3" t="s">
        <v>258</v>
      </c>
      <c r="B202" s="3" t="s">
        <v>351</v>
      </c>
      <c r="C202" s="3" t="s">
        <v>227</v>
      </c>
      <c r="D202" s="3">
        <v>550</v>
      </c>
      <c r="E202" s="3">
        <v>200</v>
      </c>
      <c r="F202" s="3">
        <v>23</v>
      </c>
      <c r="G202" s="3">
        <v>35</v>
      </c>
      <c r="H202" s="3">
        <v>15</v>
      </c>
      <c r="I202" s="3">
        <v>73</v>
      </c>
      <c r="J202" s="3">
        <v>1</v>
      </c>
      <c r="K202" s="3">
        <v>80</v>
      </c>
      <c r="L202">
        <f>IFERROR(VALUE(LEFT(C202,FIND(" ",C202)-1)), "")</f>
        <v>16</v>
      </c>
    </row>
    <row r="203" spans="1:12" x14ac:dyDescent="0.3">
      <c r="A203" s="3" t="s">
        <v>258</v>
      </c>
      <c r="B203" s="3" t="s">
        <v>352</v>
      </c>
      <c r="C203" s="3" t="s">
        <v>256</v>
      </c>
      <c r="D203" s="3">
        <v>670</v>
      </c>
      <c r="E203" s="3">
        <v>250</v>
      </c>
      <c r="F203" s="3">
        <v>27</v>
      </c>
      <c r="G203" s="3">
        <v>42</v>
      </c>
      <c r="H203" s="3">
        <v>17</v>
      </c>
      <c r="I203" s="3">
        <v>87</v>
      </c>
      <c r="J203" s="3">
        <v>1.5</v>
      </c>
      <c r="K203" s="3">
        <v>95</v>
      </c>
      <c r="L203">
        <f>IFERROR(VALUE(LEFT(C203,FIND(" ",C203)-1)), "")</f>
        <v>22</v>
      </c>
    </row>
    <row r="204" spans="1:12" x14ac:dyDescent="0.3">
      <c r="A204" s="3" t="s">
        <v>258</v>
      </c>
      <c r="B204" s="3" t="s">
        <v>353</v>
      </c>
      <c r="C204" s="3" t="s">
        <v>233</v>
      </c>
      <c r="D204" s="3">
        <v>530</v>
      </c>
      <c r="E204" s="3">
        <v>200</v>
      </c>
      <c r="F204" s="3">
        <v>23</v>
      </c>
      <c r="G204" s="3">
        <v>35</v>
      </c>
      <c r="H204" s="3">
        <v>14</v>
      </c>
      <c r="I204" s="3">
        <v>72</v>
      </c>
      <c r="J204" s="3">
        <v>1</v>
      </c>
      <c r="K204" s="3">
        <v>65</v>
      </c>
      <c r="L204">
        <f>IFERROR(VALUE(LEFT(C204,FIND(" ",C204)-1)), "")</f>
        <v>12</v>
      </c>
    </row>
    <row r="205" spans="1:12" x14ac:dyDescent="0.3">
      <c r="A205" s="3" t="s">
        <v>258</v>
      </c>
      <c r="B205" s="3" t="s">
        <v>354</v>
      </c>
      <c r="C205" s="3" t="s">
        <v>227</v>
      </c>
      <c r="D205" s="3">
        <v>630</v>
      </c>
      <c r="E205" s="3">
        <v>240</v>
      </c>
      <c r="F205" s="3">
        <v>26</v>
      </c>
      <c r="G205" s="3">
        <v>41</v>
      </c>
      <c r="H205" s="3">
        <v>17</v>
      </c>
      <c r="I205" s="3">
        <v>85</v>
      </c>
      <c r="J205" s="3">
        <v>1</v>
      </c>
      <c r="K205" s="3">
        <v>80</v>
      </c>
      <c r="L205">
        <f>IFERROR(VALUE(LEFT(C205,FIND(" ",C205)-1)), "")</f>
        <v>16</v>
      </c>
    </row>
    <row r="206" spans="1:12" x14ac:dyDescent="0.3">
      <c r="A206" s="3" t="s">
        <v>258</v>
      </c>
      <c r="B206" s="3" t="s">
        <v>355</v>
      </c>
      <c r="C206" s="3" t="s">
        <v>256</v>
      </c>
      <c r="D206" s="3">
        <v>760</v>
      </c>
      <c r="E206" s="3">
        <v>280</v>
      </c>
      <c r="F206" s="3">
        <v>31</v>
      </c>
      <c r="G206" s="3">
        <v>48</v>
      </c>
      <c r="H206" s="3">
        <v>20</v>
      </c>
      <c r="I206" s="3">
        <v>101</v>
      </c>
      <c r="J206" s="3">
        <v>1.5</v>
      </c>
      <c r="K206" s="3">
        <v>95</v>
      </c>
      <c r="L206">
        <f>IFERROR(VALUE(LEFT(C206,FIND(" ",C206)-1)), "")</f>
        <v>22</v>
      </c>
    </row>
    <row r="207" spans="1:12" x14ac:dyDescent="0.3">
      <c r="A207" s="3" t="s">
        <v>356</v>
      </c>
      <c r="B207" s="3" t="s">
        <v>357</v>
      </c>
      <c r="C207" s="3" t="s">
        <v>233</v>
      </c>
      <c r="D207" s="3">
        <v>220</v>
      </c>
      <c r="E207" s="3">
        <v>5</v>
      </c>
      <c r="F207" s="3">
        <v>0.5</v>
      </c>
      <c r="G207" s="3">
        <v>1</v>
      </c>
      <c r="H207" s="3">
        <v>0</v>
      </c>
      <c r="I207" s="3">
        <v>0</v>
      </c>
      <c r="J207" s="3">
        <v>0</v>
      </c>
      <c r="K207" s="3">
        <v>5</v>
      </c>
      <c r="L207">
        <f>IFERROR(VALUE(LEFT(C207,FIND(" ",C207)-1)), "")</f>
        <v>12</v>
      </c>
    </row>
    <row r="208" spans="1:12" x14ac:dyDescent="0.3">
      <c r="A208" s="3" t="s">
        <v>356</v>
      </c>
      <c r="B208" s="3" t="s">
        <v>358</v>
      </c>
      <c r="C208" s="3" t="s">
        <v>227</v>
      </c>
      <c r="D208" s="3">
        <v>260</v>
      </c>
      <c r="E208" s="3">
        <v>5</v>
      </c>
      <c r="F208" s="3">
        <v>1</v>
      </c>
      <c r="G208" s="3">
        <v>1</v>
      </c>
      <c r="H208" s="3">
        <v>0</v>
      </c>
      <c r="I208" s="3">
        <v>0</v>
      </c>
      <c r="J208" s="3">
        <v>0</v>
      </c>
      <c r="K208" s="3">
        <v>5</v>
      </c>
      <c r="L208">
        <f>IFERROR(VALUE(LEFT(C208,FIND(" ",C208)-1)), "")</f>
        <v>16</v>
      </c>
    </row>
    <row r="209" spans="1:12" x14ac:dyDescent="0.3">
      <c r="A209" s="3" t="s">
        <v>356</v>
      </c>
      <c r="B209" s="3" t="s">
        <v>359</v>
      </c>
      <c r="C209" s="3" t="s">
        <v>256</v>
      </c>
      <c r="D209" s="3">
        <v>340</v>
      </c>
      <c r="E209" s="3">
        <v>10</v>
      </c>
      <c r="F209" s="3">
        <v>1</v>
      </c>
      <c r="G209" s="3">
        <v>2</v>
      </c>
      <c r="H209" s="3">
        <v>0.5</v>
      </c>
      <c r="I209" s="3">
        <v>3</v>
      </c>
      <c r="J209" s="3">
        <v>0</v>
      </c>
      <c r="K209" s="3">
        <v>5</v>
      </c>
      <c r="L209">
        <f>IFERROR(VALUE(LEFT(C209,FIND(" ",C209)-1)), "")</f>
        <v>22</v>
      </c>
    </row>
    <row r="210" spans="1:12" x14ac:dyDescent="0.3">
      <c r="A210" s="3" t="s">
        <v>356</v>
      </c>
      <c r="B210" s="3" t="s">
        <v>360</v>
      </c>
      <c r="C210" s="3" t="s">
        <v>233</v>
      </c>
      <c r="D210" s="3">
        <v>210</v>
      </c>
      <c r="E210" s="3">
        <v>5</v>
      </c>
      <c r="F210" s="3">
        <v>0.5</v>
      </c>
      <c r="G210" s="3">
        <v>1</v>
      </c>
      <c r="H210" s="3">
        <v>0</v>
      </c>
      <c r="I210" s="3">
        <v>0</v>
      </c>
      <c r="J210" s="3">
        <v>0</v>
      </c>
      <c r="K210" s="3">
        <v>5</v>
      </c>
      <c r="L210">
        <f>IFERROR(VALUE(LEFT(C210,FIND(" ",C210)-1)), "")</f>
        <v>12</v>
      </c>
    </row>
    <row r="211" spans="1:12" x14ac:dyDescent="0.3">
      <c r="A211" s="3" t="s">
        <v>356</v>
      </c>
      <c r="B211" s="3" t="s">
        <v>361</v>
      </c>
      <c r="C211" s="3" t="s">
        <v>227</v>
      </c>
      <c r="D211" s="3">
        <v>250</v>
      </c>
      <c r="E211" s="3">
        <v>5</v>
      </c>
      <c r="F211" s="3">
        <v>1</v>
      </c>
      <c r="G211" s="3">
        <v>1</v>
      </c>
      <c r="H211" s="3">
        <v>0</v>
      </c>
      <c r="I211" s="3">
        <v>0</v>
      </c>
      <c r="J211" s="3">
        <v>0</v>
      </c>
      <c r="K211" s="3">
        <v>5</v>
      </c>
      <c r="L211">
        <f>IFERROR(VALUE(LEFT(C211,FIND(" ",C211)-1)), "")</f>
        <v>16</v>
      </c>
    </row>
    <row r="212" spans="1:12" x14ac:dyDescent="0.3">
      <c r="A212" s="3" t="s">
        <v>356</v>
      </c>
      <c r="B212" s="3" t="s">
        <v>362</v>
      </c>
      <c r="C212" s="3" t="s">
        <v>256</v>
      </c>
      <c r="D212" s="3">
        <v>330</v>
      </c>
      <c r="E212" s="3">
        <v>10</v>
      </c>
      <c r="F212" s="3">
        <v>1</v>
      </c>
      <c r="G212" s="3">
        <v>2</v>
      </c>
      <c r="H212" s="3">
        <v>0.5</v>
      </c>
      <c r="I212" s="3">
        <v>3</v>
      </c>
      <c r="J212" s="3">
        <v>0</v>
      </c>
      <c r="K212" s="3">
        <v>5</v>
      </c>
      <c r="L212">
        <f>IFERROR(VALUE(LEFT(C212,FIND(" ",C212)-1)), "")</f>
        <v>22</v>
      </c>
    </row>
    <row r="213" spans="1:12" x14ac:dyDescent="0.3">
      <c r="A213" s="3" t="s">
        <v>356</v>
      </c>
      <c r="B213" s="3" t="s">
        <v>363</v>
      </c>
      <c r="C213" s="3" t="s">
        <v>233</v>
      </c>
      <c r="D213" s="3">
        <v>210</v>
      </c>
      <c r="E213" s="3">
        <v>5</v>
      </c>
      <c r="F213" s="3">
        <v>0.5</v>
      </c>
      <c r="G213" s="3">
        <v>1</v>
      </c>
      <c r="H213" s="3">
        <v>0</v>
      </c>
      <c r="I213" s="3">
        <v>0</v>
      </c>
      <c r="J213" s="3">
        <v>0</v>
      </c>
      <c r="K213" s="3">
        <v>5</v>
      </c>
      <c r="L213">
        <f>IFERROR(VALUE(LEFT(C213,FIND(" ",C213)-1)), "")</f>
        <v>12</v>
      </c>
    </row>
    <row r="214" spans="1:12" x14ac:dyDescent="0.3">
      <c r="A214" s="3" t="s">
        <v>356</v>
      </c>
      <c r="B214" s="3" t="s">
        <v>364</v>
      </c>
      <c r="C214" s="3" t="s">
        <v>227</v>
      </c>
      <c r="D214" s="3">
        <v>260</v>
      </c>
      <c r="E214" s="3">
        <v>10</v>
      </c>
      <c r="F214" s="3">
        <v>1</v>
      </c>
      <c r="G214" s="3">
        <v>1</v>
      </c>
      <c r="H214" s="3">
        <v>0</v>
      </c>
      <c r="I214" s="3">
        <v>0</v>
      </c>
      <c r="J214" s="3">
        <v>0</v>
      </c>
      <c r="K214" s="3">
        <v>5</v>
      </c>
      <c r="L214">
        <f>IFERROR(VALUE(LEFT(C214,FIND(" ",C214)-1)), "")</f>
        <v>16</v>
      </c>
    </row>
    <row r="215" spans="1:12" x14ac:dyDescent="0.3">
      <c r="A215" s="3" t="s">
        <v>356</v>
      </c>
      <c r="B215" s="3" t="s">
        <v>365</v>
      </c>
      <c r="C215" s="3" t="s">
        <v>256</v>
      </c>
      <c r="D215" s="3">
        <v>340</v>
      </c>
      <c r="E215" s="3">
        <v>10</v>
      </c>
      <c r="F215" s="3">
        <v>1</v>
      </c>
      <c r="G215" s="3">
        <v>2</v>
      </c>
      <c r="H215" s="3">
        <v>0.5</v>
      </c>
      <c r="I215" s="3">
        <v>3</v>
      </c>
      <c r="J215" s="3">
        <v>0</v>
      </c>
      <c r="K215" s="3">
        <v>5</v>
      </c>
      <c r="L215">
        <f>IFERROR(VALUE(LEFT(C215,FIND(" ",C215)-1)), "")</f>
        <v>22</v>
      </c>
    </row>
    <row r="216" spans="1:12" x14ac:dyDescent="0.3">
      <c r="A216" s="3" t="s">
        <v>356</v>
      </c>
      <c r="B216" s="3" t="s">
        <v>366</v>
      </c>
      <c r="C216" s="3" t="s">
        <v>233</v>
      </c>
      <c r="D216" s="3">
        <v>530</v>
      </c>
      <c r="E216" s="3">
        <v>140</v>
      </c>
      <c r="F216" s="3">
        <v>15</v>
      </c>
      <c r="G216" s="3">
        <v>24</v>
      </c>
      <c r="H216" s="3">
        <v>10</v>
      </c>
      <c r="I216" s="3">
        <v>49</v>
      </c>
      <c r="J216" s="3">
        <v>1</v>
      </c>
      <c r="K216" s="3">
        <v>60</v>
      </c>
      <c r="L216">
        <f>IFERROR(VALUE(LEFT(C216,FIND(" ",C216)-1)), "")</f>
        <v>12</v>
      </c>
    </row>
    <row r="217" spans="1:12" x14ac:dyDescent="0.3">
      <c r="A217" s="3" t="s">
        <v>356</v>
      </c>
      <c r="B217" s="3" t="s">
        <v>367</v>
      </c>
      <c r="C217" s="3" t="s">
        <v>227</v>
      </c>
      <c r="D217" s="3">
        <v>660</v>
      </c>
      <c r="E217" s="3">
        <v>170</v>
      </c>
      <c r="F217" s="3">
        <v>19</v>
      </c>
      <c r="G217" s="3">
        <v>29</v>
      </c>
      <c r="H217" s="3">
        <v>12</v>
      </c>
      <c r="I217" s="3">
        <v>61</v>
      </c>
      <c r="J217" s="3">
        <v>1</v>
      </c>
      <c r="K217" s="3">
        <v>75</v>
      </c>
      <c r="L217">
        <f>IFERROR(VALUE(LEFT(C217,FIND(" ",C217)-1)), "")</f>
        <v>16</v>
      </c>
    </row>
    <row r="218" spans="1:12" x14ac:dyDescent="0.3">
      <c r="A218" s="3" t="s">
        <v>356</v>
      </c>
      <c r="B218" s="3" t="s">
        <v>368</v>
      </c>
      <c r="C218" s="3" t="s">
        <v>256</v>
      </c>
      <c r="D218" s="3">
        <v>820</v>
      </c>
      <c r="E218" s="3">
        <v>210</v>
      </c>
      <c r="F218" s="3">
        <v>23</v>
      </c>
      <c r="G218" s="3">
        <v>35</v>
      </c>
      <c r="H218" s="3">
        <v>15</v>
      </c>
      <c r="I218" s="3">
        <v>73</v>
      </c>
      <c r="J218" s="3">
        <v>1</v>
      </c>
      <c r="K218" s="3">
        <v>90</v>
      </c>
      <c r="L218">
        <f>IFERROR(VALUE(LEFT(C218,FIND(" ",C218)-1)), "")</f>
        <v>22</v>
      </c>
    </row>
    <row r="219" spans="1:12" x14ac:dyDescent="0.3">
      <c r="A219" s="3" t="s">
        <v>356</v>
      </c>
      <c r="B219" s="3" t="s">
        <v>369</v>
      </c>
      <c r="C219" s="3" t="s">
        <v>233</v>
      </c>
      <c r="D219" s="3">
        <v>550</v>
      </c>
      <c r="E219" s="3">
        <v>150</v>
      </c>
      <c r="F219" s="3">
        <v>16</v>
      </c>
      <c r="G219" s="3">
        <v>25</v>
      </c>
      <c r="H219" s="3">
        <v>10</v>
      </c>
      <c r="I219" s="3">
        <v>52</v>
      </c>
      <c r="J219" s="3">
        <v>1</v>
      </c>
      <c r="K219" s="3">
        <v>60</v>
      </c>
      <c r="L219">
        <f>IFERROR(VALUE(LEFT(C219,FIND(" ",C219)-1)), "")</f>
        <v>12</v>
      </c>
    </row>
    <row r="220" spans="1:12" x14ac:dyDescent="0.3">
      <c r="A220" s="3" t="s">
        <v>356</v>
      </c>
      <c r="B220" s="3" t="s">
        <v>370</v>
      </c>
      <c r="C220" s="3" t="s">
        <v>227</v>
      </c>
      <c r="D220" s="3">
        <v>690</v>
      </c>
      <c r="E220" s="3">
        <v>180</v>
      </c>
      <c r="F220" s="3">
        <v>20</v>
      </c>
      <c r="G220" s="3">
        <v>30</v>
      </c>
      <c r="H220" s="3">
        <v>13</v>
      </c>
      <c r="I220" s="3">
        <v>63</v>
      </c>
      <c r="J220" s="3">
        <v>1</v>
      </c>
      <c r="K220" s="3">
        <v>75</v>
      </c>
      <c r="L220">
        <f>IFERROR(VALUE(LEFT(C220,FIND(" ",C220)-1)), "")</f>
        <v>16</v>
      </c>
    </row>
    <row r="221" spans="1:12" x14ac:dyDescent="0.3">
      <c r="A221" s="3" t="s">
        <v>356</v>
      </c>
      <c r="B221" s="3" t="s">
        <v>371</v>
      </c>
      <c r="C221" s="3" t="s">
        <v>256</v>
      </c>
      <c r="D221" s="3">
        <v>850</v>
      </c>
      <c r="E221" s="3">
        <v>210</v>
      </c>
      <c r="F221" s="3">
        <v>24</v>
      </c>
      <c r="G221" s="3">
        <v>36</v>
      </c>
      <c r="H221" s="3">
        <v>15</v>
      </c>
      <c r="I221" s="3">
        <v>75</v>
      </c>
      <c r="J221" s="3">
        <v>1</v>
      </c>
      <c r="K221" s="3">
        <v>90</v>
      </c>
      <c r="L221">
        <f>IFERROR(VALUE(LEFT(C221,FIND(" ",C221)-1)), "")</f>
        <v>22</v>
      </c>
    </row>
    <row r="222" spans="1:12" x14ac:dyDescent="0.3">
      <c r="A222" s="3" t="s">
        <v>356</v>
      </c>
      <c r="B222" s="3" t="s">
        <v>372</v>
      </c>
      <c r="C222" s="3" t="s">
        <v>233</v>
      </c>
      <c r="D222" s="3">
        <v>560</v>
      </c>
      <c r="E222" s="3">
        <v>150</v>
      </c>
      <c r="F222" s="3">
        <v>16</v>
      </c>
      <c r="G222" s="3">
        <v>25</v>
      </c>
      <c r="H222" s="3">
        <v>10</v>
      </c>
      <c r="I222" s="3">
        <v>51</v>
      </c>
      <c r="J222" s="3">
        <v>1</v>
      </c>
      <c r="K222" s="3">
        <v>60</v>
      </c>
      <c r="L222">
        <f>IFERROR(VALUE(LEFT(C222,FIND(" ",C222)-1)), "")</f>
        <v>12</v>
      </c>
    </row>
    <row r="223" spans="1:12" x14ac:dyDescent="0.3">
      <c r="A223" s="3" t="s">
        <v>356</v>
      </c>
      <c r="B223" s="3" t="s">
        <v>373</v>
      </c>
      <c r="C223" s="3" t="s">
        <v>227</v>
      </c>
      <c r="D223" s="3">
        <v>700</v>
      </c>
      <c r="E223" s="3">
        <v>180</v>
      </c>
      <c r="F223" s="3">
        <v>20</v>
      </c>
      <c r="G223" s="3">
        <v>30</v>
      </c>
      <c r="H223" s="3">
        <v>12</v>
      </c>
      <c r="I223" s="3">
        <v>62</v>
      </c>
      <c r="J223" s="3">
        <v>1</v>
      </c>
      <c r="K223" s="3">
        <v>75</v>
      </c>
      <c r="L223">
        <f>IFERROR(VALUE(LEFT(C223,FIND(" ",C223)-1)), "")</f>
        <v>16</v>
      </c>
    </row>
    <row r="224" spans="1:12" x14ac:dyDescent="0.3">
      <c r="A224" s="3" t="s">
        <v>356</v>
      </c>
      <c r="B224" s="3" t="s">
        <v>374</v>
      </c>
      <c r="C224" s="3" t="s">
        <v>256</v>
      </c>
      <c r="D224" s="3">
        <v>850</v>
      </c>
      <c r="E224" s="3">
        <v>210</v>
      </c>
      <c r="F224" s="3">
        <v>23</v>
      </c>
      <c r="G224" s="3">
        <v>36</v>
      </c>
      <c r="H224" s="3">
        <v>15</v>
      </c>
      <c r="I224" s="3">
        <v>74</v>
      </c>
      <c r="J224" s="3">
        <v>1</v>
      </c>
      <c r="K224" s="3">
        <v>85</v>
      </c>
      <c r="L224">
        <f>IFERROR(VALUE(LEFT(C224,FIND(" ",C224)-1)), "")</f>
        <v>22</v>
      </c>
    </row>
    <row r="225" spans="1:12" x14ac:dyDescent="0.3">
      <c r="A225" s="3" t="s">
        <v>356</v>
      </c>
      <c r="B225" s="3" t="s">
        <v>375</v>
      </c>
      <c r="C225" s="3" t="s">
        <v>227</v>
      </c>
      <c r="D225" s="3">
        <v>660</v>
      </c>
      <c r="E225" s="3">
        <v>170</v>
      </c>
      <c r="F225" s="3">
        <v>19</v>
      </c>
      <c r="G225" s="3">
        <v>29</v>
      </c>
      <c r="H225" s="3">
        <v>12</v>
      </c>
      <c r="I225" s="3">
        <v>61</v>
      </c>
      <c r="J225" s="3">
        <v>1</v>
      </c>
      <c r="K225" s="3">
        <v>75</v>
      </c>
      <c r="L225">
        <f>IFERROR(VALUE(LEFT(C225,FIND(" ",C225)-1)), "")</f>
        <v>16</v>
      </c>
    </row>
    <row r="226" spans="1:12" x14ac:dyDescent="0.3">
      <c r="A226" s="3" t="s">
        <v>356</v>
      </c>
      <c r="B226" s="3" t="s">
        <v>376</v>
      </c>
      <c r="C226" s="3" t="s">
        <v>256</v>
      </c>
      <c r="D226" s="3">
        <v>820</v>
      </c>
      <c r="E226" s="3">
        <v>210</v>
      </c>
      <c r="F226" s="3">
        <v>23</v>
      </c>
      <c r="G226" s="3">
        <v>35</v>
      </c>
      <c r="H226" s="3">
        <v>15</v>
      </c>
      <c r="I226" s="3">
        <v>73</v>
      </c>
      <c r="J226" s="3">
        <v>1</v>
      </c>
      <c r="K226" s="3">
        <v>90</v>
      </c>
      <c r="L226">
        <f>IFERROR(VALUE(LEFT(C226,FIND(" ",C226)-1)), "")</f>
        <v>22</v>
      </c>
    </row>
    <row r="227" spans="1:12" x14ac:dyDescent="0.3">
      <c r="A227" s="3" t="s">
        <v>356</v>
      </c>
      <c r="B227" s="3" t="s">
        <v>377</v>
      </c>
      <c r="C227" s="3" t="s">
        <v>153</v>
      </c>
      <c r="D227" s="3">
        <v>650</v>
      </c>
      <c r="E227" s="3">
        <v>210</v>
      </c>
      <c r="F227" s="3">
        <v>23</v>
      </c>
      <c r="G227" s="3">
        <v>35</v>
      </c>
      <c r="H227" s="3">
        <v>14</v>
      </c>
      <c r="I227" s="3">
        <v>72</v>
      </c>
      <c r="J227" s="3">
        <v>0.5</v>
      </c>
      <c r="K227" s="3">
        <v>50</v>
      </c>
      <c r="L227">
        <f>IFERROR(VALUE(LEFT(C227,FIND(" ",C227)-1)), "")</f>
        <v>10.9</v>
      </c>
    </row>
    <row r="228" spans="1:12" x14ac:dyDescent="0.3">
      <c r="A228" s="3" t="s">
        <v>356</v>
      </c>
      <c r="B228" s="3" t="s">
        <v>378</v>
      </c>
      <c r="C228" s="3" t="s">
        <v>379</v>
      </c>
      <c r="D228" s="3">
        <v>930</v>
      </c>
      <c r="E228" s="3">
        <v>290</v>
      </c>
      <c r="F228" s="3">
        <v>33</v>
      </c>
      <c r="G228" s="3">
        <v>50</v>
      </c>
      <c r="H228" s="3">
        <v>20</v>
      </c>
      <c r="I228" s="3">
        <v>102</v>
      </c>
      <c r="J228" s="3">
        <v>1</v>
      </c>
      <c r="K228" s="3">
        <v>75</v>
      </c>
      <c r="L228">
        <f>IFERROR(VALUE(LEFT(C228,FIND(" ",C228)-1)), "")</f>
        <v>16.2</v>
      </c>
    </row>
    <row r="229" spans="1:12" x14ac:dyDescent="0.3">
      <c r="A229" s="3" t="s">
        <v>356</v>
      </c>
      <c r="B229" s="3" t="s">
        <v>380</v>
      </c>
      <c r="C229" s="3" t="s">
        <v>381</v>
      </c>
      <c r="D229" s="3">
        <v>430</v>
      </c>
      <c r="E229" s="3">
        <v>140</v>
      </c>
      <c r="F229" s="3">
        <v>15</v>
      </c>
      <c r="G229" s="3">
        <v>24</v>
      </c>
      <c r="H229" s="3">
        <v>10</v>
      </c>
      <c r="I229" s="3">
        <v>48</v>
      </c>
      <c r="J229" s="3">
        <v>0</v>
      </c>
      <c r="K229" s="3">
        <v>35</v>
      </c>
      <c r="L229">
        <f>IFERROR(VALUE(LEFT(C229,FIND(" ",C229)-1)), "")</f>
        <v>7.3</v>
      </c>
    </row>
    <row r="230" spans="1:12" x14ac:dyDescent="0.3">
      <c r="A230" s="3" t="s">
        <v>356</v>
      </c>
      <c r="B230" s="3" t="s">
        <v>382</v>
      </c>
      <c r="C230" s="3" t="s">
        <v>383</v>
      </c>
      <c r="D230" s="3">
        <v>510</v>
      </c>
      <c r="E230" s="3">
        <v>150</v>
      </c>
      <c r="F230" s="3">
        <v>17</v>
      </c>
      <c r="G230" s="3">
        <v>26</v>
      </c>
      <c r="H230" s="3">
        <v>9</v>
      </c>
      <c r="I230" s="3">
        <v>44</v>
      </c>
      <c r="J230" s="3">
        <v>0.5</v>
      </c>
      <c r="K230" s="3">
        <v>45</v>
      </c>
      <c r="L230">
        <f>IFERROR(VALUE(LEFT(C230,FIND(" ",C230)-1)), "")</f>
        <v>10.1</v>
      </c>
    </row>
    <row r="231" spans="1:12" x14ac:dyDescent="0.3">
      <c r="A231" s="3" t="s">
        <v>356</v>
      </c>
      <c r="B231" s="3" t="s">
        <v>384</v>
      </c>
      <c r="C231" s="3" t="s">
        <v>385</v>
      </c>
      <c r="D231" s="3">
        <v>690</v>
      </c>
      <c r="E231" s="3">
        <v>200</v>
      </c>
      <c r="F231" s="3">
        <v>23</v>
      </c>
      <c r="G231" s="3">
        <v>35</v>
      </c>
      <c r="H231" s="3">
        <v>12</v>
      </c>
      <c r="I231" s="3">
        <v>58</v>
      </c>
      <c r="J231" s="3">
        <v>1</v>
      </c>
      <c r="K231" s="3">
        <v>55</v>
      </c>
      <c r="L231">
        <f>IFERROR(VALUE(LEFT(C231,FIND(" ",C231)-1)), "")</f>
        <v>13.4</v>
      </c>
    </row>
    <row r="232" spans="1:12" x14ac:dyDescent="0.3">
      <c r="A232" s="3" t="s">
        <v>356</v>
      </c>
      <c r="B232" s="3" t="s">
        <v>386</v>
      </c>
      <c r="C232" s="3" t="s">
        <v>119</v>
      </c>
      <c r="D232" s="3">
        <v>340</v>
      </c>
      <c r="E232" s="3">
        <v>100</v>
      </c>
      <c r="F232" s="3">
        <v>11</v>
      </c>
      <c r="G232" s="3">
        <v>17</v>
      </c>
      <c r="H232" s="3">
        <v>6</v>
      </c>
      <c r="I232" s="3">
        <v>29</v>
      </c>
      <c r="J232" s="3">
        <v>0</v>
      </c>
      <c r="K232" s="3">
        <v>30</v>
      </c>
      <c r="L232">
        <f>IFERROR(VALUE(LEFT(C232,FIND(" ",C232)-1)), "")</f>
        <v>6.7</v>
      </c>
    </row>
    <row r="233" spans="1:12" x14ac:dyDescent="0.3">
      <c r="A233" s="3" t="s">
        <v>356</v>
      </c>
      <c r="B233" s="3" t="s">
        <v>387</v>
      </c>
      <c r="C233" s="3" t="s">
        <v>388</v>
      </c>
      <c r="D233" s="3">
        <v>810</v>
      </c>
      <c r="E233" s="3">
        <v>290</v>
      </c>
      <c r="F233" s="3">
        <v>32</v>
      </c>
      <c r="G233" s="3">
        <v>50</v>
      </c>
      <c r="H233" s="3">
        <v>15</v>
      </c>
      <c r="I233" s="3">
        <v>76</v>
      </c>
      <c r="J233" s="3">
        <v>1</v>
      </c>
      <c r="K233" s="3">
        <v>60</v>
      </c>
      <c r="L233">
        <f>IFERROR(VALUE(LEFT(C233,FIND(" ",C233)-1)), "")</f>
        <v>14.2</v>
      </c>
    </row>
    <row r="234" spans="1:12" x14ac:dyDescent="0.3">
      <c r="A234" s="3" t="s">
        <v>356</v>
      </c>
      <c r="B234" s="3" t="s">
        <v>389</v>
      </c>
      <c r="C234" s="3" t="s">
        <v>100</v>
      </c>
      <c r="D234" s="3">
        <v>410</v>
      </c>
      <c r="E234" s="3">
        <v>150</v>
      </c>
      <c r="F234" s="3">
        <v>16</v>
      </c>
      <c r="G234" s="3">
        <v>25</v>
      </c>
      <c r="H234" s="3">
        <v>8</v>
      </c>
      <c r="I234" s="3">
        <v>38</v>
      </c>
      <c r="J234" s="3">
        <v>0</v>
      </c>
      <c r="K234" s="3">
        <v>30</v>
      </c>
      <c r="L234">
        <f>IFERROR(VALUE(LEFT(C234,FIND(" ",C234)-1)), "")</f>
        <v>7.1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23AA-0752-450C-871D-C10CAB8E6001}">
  <dimension ref="A1:L28"/>
  <sheetViews>
    <sheetView topLeftCell="A11" workbookViewId="0">
      <selection sqref="A1:L28"/>
    </sheetView>
  </sheetViews>
  <sheetFormatPr defaultRowHeight="14.4" x14ac:dyDescent="0.3"/>
  <sheetData>
    <row r="1" spans="1:12" x14ac:dyDescent="0.3">
      <c r="A1" s="3" t="s">
        <v>356</v>
      </c>
      <c r="B1" s="3" t="s">
        <v>357</v>
      </c>
      <c r="C1" s="3" t="s">
        <v>233</v>
      </c>
      <c r="D1" s="3">
        <v>220</v>
      </c>
      <c r="E1" s="3">
        <v>5</v>
      </c>
      <c r="F1" s="3">
        <v>0.5</v>
      </c>
      <c r="G1" s="3">
        <v>1</v>
      </c>
      <c r="H1" s="3">
        <v>0</v>
      </c>
      <c r="I1" s="3">
        <v>0</v>
      </c>
      <c r="J1" s="3">
        <v>0</v>
      </c>
      <c r="K1" s="3">
        <v>5</v>
      </c>
      <c r="L1">
        <f>IFERROR(VALUE(LEFT(C1,FIND(" ",C1)-1)), "")</f>
        <v>12</v>
      </c>
    </row>
    <row r="2" spans="1:12" x14ac:dyDescent="0.3">
      <c r="A2" s="3" t="s">
        <v>356</v>
      </c>
      <c r="B2" s="3" t="s">
        <v>358</v>
      </c>
      <c r="C2" s="3" t="s">
        <v>227</v>
      </c>
      <c r="D2" s="3">
        <v>260</v>
      </c>
      <c r="E2" s="3">
        <v>5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5</v>
      </c>
      <c r="L2">
        <f>IFERROR(VALUE(LEFT(C2,FIND(" ",C2)-1)), "")</f>
        <v>16</v>
      </c>
    </row>
    <row r="3" spans="1:12" x14ac:dyDescent="0.3">
      <c r="A3" s="3" t="s">
        <v>356</v>
      </c>
      <c r="B3" s="3" t="s">
        <v>359</v>
      </c>
      <c r="C3" s="3" t="s">
        <v>256</v>
      </c>
      <c r="D3" s="3">
        <v>340</v>
      </c>
      <c r="E3" s="3">
        <v>10</v>
      </c>
      <c r="F3" s="3">
        <v>1</v>
      </c>
      <c r="G3" s="3">
        <v>2</v>
      </c>
      <c r="H3" s="3">
        <v>0.5</v>
      </c>
      <c r="I3" s="3">
        <v>3</v>
      </c>
      <c r="J3" s="3">
        <v>0</v>
      </c>
      <c r="K3" s="3">
        <v>5</v>
      </c>
      <c r="L3">
        <f>IFERROR(VALUE(LEFT(C3,FIND(" ",C3)-1)), "")</f>
        <v>22</v>
      </c>
    </row>
    <row r="4" spans="1:12" x14ac:dyDescent="0.3">
      <c r="A4" s="3" t="s">
        <v>356</v>
      </c>
      <c r="B4" s="3" t="s">
        <v>360</v>
      </c>
      <c r="C4" s="3" t="s">
        <v>233</v>
      </c>
      <c r="D4" s="3">
        <v>210</v>
      </c>
      <c r="E4" s="3">
        <v>5</v>
      </c>
      <c r="F4" s="3">
        <v>0.5</v>
      </c>
      <c r="G4" s="3">
        <v>1</v>
      </c>
      <c r="H4" s="3">
        <v>0</v>
      </c>
      <c r="I4" s="3">
        <v>0</v>
      </c>
      <c r="J4" s="3">
        <v>0</v>
      </c>
      <c r="K4" s="3">
        <v>5</v>
      </c>
      <c r="L4">
        <f>IFERROR(VALUE(LEFT(C4,FIND(" ",C4)-1)), "")</f>
        <v>12</v>
      </c>
    </row>
    <row r="5" spans="1:12" x14ac:dyDescent="0.3">
      <c r="A5" s="3" t="s">
        <v>356</v>
      </c>
      <c r="B5" s="3" t="s">
        <v>361</v>
      </c>
      <c r="C5" s="3" t="s">
        <v>227</v>
      </c>
      <c r="D5" s="3">
        <v>250</v>
      </c>
      <c r="E5" s="3">
        <v>5</v>
      </c>
      <c r="F5" s="3">
        <v>1</v>
      </c>
      <c r="G5" s="3">
        <v>1</v>
      </c>
      <c r="H5" s="3">
        <v>0</v>
      </c>
      <c r="I5" s="3">
        <v>0</v>
      </c>
      <c r="J5" s="3">
        <v>0</v>
      </c>
      <c r="K5" s="3">
        <v>5</v>
      </c>
      <c r="L5">
        <f>IFERROR(VALUE(LEFT(C5,FIND(" ",C5)-1)), "")</f>
        <v>16</v>
      </c>
    </row>
    <row r="6" spans="1:12" x14ac:dyDescent="0.3">
      <c r="A6" s="3" t="s">
        <v>356</v>
      </c>
      <c r="B6" s="3" t="s">
        <v>362</v>
      </c>
      <c r="C6" s="3" t="s">
        <v>256</v>
      </c>
      <c r="D6" s="3">
        <v>330</v>
      </c>
      <c r="E6" s="3">
        <v>10</v>
      </c>
      <c r="F6" s="3">
        <v>1</v>
      </c>
      <c r="G6" s="3">
        <v>2</v>
      </c>
      <c r="H6" s="3">
        <v>0.5</v>
      </c>
      <c r="I6" s="3">
        <v>3</v>
      </c>
      <c r="J6" s="3">
        <v>0</v>
      </c>
      <c r="K6" s="3">
        <v>5</v>
      </c>
      <c r="L6">
        <f>IFERROR(VALUE(LEFT(C6,FIND(" ",C6)-1)), "")</f>
        <v>22</v>
      </c>
    </row>
    <row r="7" spans="1:12" x14ac:dyDescent="0.3">
      <c r="A7" s="3" t="s">
        <v>356</v>
      </c>
      <c r="B7" s="3" t="s">
        <v>363</v>
      </c>
      <c r="C7" s="3" t="s">
        <v>233</v>
      </c>
      <c r="D7" s="3">
        <v>210</v>
      </c>
      <c r="E7" s="3">
        <v>5</v>
      </c>
      <c r="F7" s="3">
        <v>0.5</v>
      </c>
      <c r="G7" s="3">
        <v>1</v>
      </c>
      <c r="H7" s="3">
        <v>0</v>
      </c>
      <c r="I7" s="3">
        <v>0</v>
      </c>
      <c r="J7" s="3">
        <v>0</v>
      </c>
      <c r="K7" s="3">
        <v>5</v>
      </c>
      <c r="L7">
        <f>IFERROR(VALUE(LEFT(C7,FIND(" ",C7)-1)), "")</f>
        <v>12</v>
      </c>
    </row>
    <row r="8" spans="1:12" x14ac:dyDescent="0.3">
      <c r="A8" s="3" t="s">
        <v>356</v>
      </c>
      <c r="B8" s="3" t="s">
        <v>364</v>
      </c>
      <c r="C8" s="3" t="s">
        <v>227</v>
      </c>
      <c r="D8" s="3">
        <v>260</v>
      </c>
      <c r="E8" s="3">
        <v>10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5</v>
      </c>
      <c r="L8">
        <f>IFERROR(VALUE(LEFT(C8,FIND(" ",C8)-1)), "")</f>
        <v>16</v>
      </c>
    </row>
    <row r="9" spans="1:12" x14ac:dyDescent="0.3">
      <c r="A9" s="3" t="s">
        <v>356</v>
      </c>
      <c r="B9" s="3" t="s">
        <v>365</v>
      </c>
      <c r="C9" s="3" t="s">
        <v>256</v>
      </c>
      <c r="D9" s="3">
        <v>340</v>
      </c>
      <c r="E9" s="3">
        <v>10</v>
      </c>
      <c r="F9" s="3">
        <v>1</v>
      </c>
      <c r="G9" s="3">
        <v>2</v>
      </c>
      <c r="H9" s="3">
        <v>0.5</v>
      </c>
      <c r="I9" s="3">
        <v>3</v>
      </c>
      <c r="J9" s="3">
        <v>0</v>
      </c>
      <c r="K9" s="3">
        <v>5</v>
      </c>
      <c r="L9">
        <f>IFERROR(VALUE(LEFT(C9,FIND(" ",C9)-1)), "")</f>
        <v>22</v>
      </c>
    </row>
    <row r="10" spans="1:12" x14ac:dyDescent="0.3">
      <c r="A10" s="3" t="s">
        <v>356</v>
      </c>
      <c r="B10" s="3" t="s">
        <v>366</v>
      </c>
      <c r="C10" s="3" t="s">
        <v>233</v>
      </c>
      <c r="D10" s="3">
        <v>530</v>
      </c>
      <c r="E10" s="3">
        <v>140</v>
      </c>
      <c r="F10" s="3">
        <v>15</v>
      </c>
      <c r="G10" s="3">
        <v>24</v>
      </c>
      <c r="H10" s="3">
        <v>10</v>
      </c>
      <c r="I10" s="3">
        <v>49</v>
      </c>
      <c r="J10" s="3">
        <v>1</v>
      </c>
      <c r="K10" s="3">
        <v>60</v>
      </c>
      <c r="L10">
        <f>IFERROR(VALUE(LEFT(C10,FIND(" ",C10)-1)), "")</f>
        <v>12</v>
      </c>
    </row>
    <row r="11" spans="1:12" x14ac:dyDescent="0.3">
      <c r="A11" s="3" t="s">
        <v>356</v>
      </c>
      <c r="B11" s="3" t="s">
        <v>367</v>
      </c>
      <c r="C11" s="3" t="s">
        <v>227</v>
      </c>
      <c r="D11" s="3">
        <v>660</v>
      </c>
      <c r="E11" s="3">
        <v>170</v>
      </c>
      <c r="F11" s="3">
        <v>19</v>
      </c>
      <c r="G11" s="3">
        <v>29</v>
      </c>
      <c r="H11" s="3">
        <v>12</v>
      </c>
      <c r="I11" s="3">
        <v>61</v>
      </c>
      <c r="J11" s="3">
        <v>1</v>
      </c>
      <c r="K11" s="3">
        <v>75</v>
      </c>
      <c r="L11">
        <f>IFERROR(VALUE(LEFT(C11,FIND(" ",C11)-1)), "")</f>
        <v>16</v>
      </c>
    </row>
    <row r="12" spans="1:12" x14ac:dyDescent="0.3">
      <c r="A12" s="3" t="s">
        <v>356</v>
      </c>
      <c r="B12" s="3" t="s">
        <v>368</v>
      </c>
      <c r="C12" s="3" t="s">
        <v>256</v>
      </c>
      <c r="D12" s="3">
        <v>820</v>
      </c>
      <c r="E12" s="3">
        <v>210</v>
      </c>
      <c r="F12" s="3">
        <v>23</v>
      </c>
      <c r="G12" s="3">
        <v>35</v>
      </c>
      <c r="H12" s="3">
        <v>15</v>
      </c>
      <c r="I12" s="3">
        <v>73</v>
      </c>
      <c r="J12" s="3">
        <v>1</v>
      </c>
      <c r="K12" s="3">
        <v>90</v>
      </c>
      <c r="L12">
        <f>IFERROR(VALUE(LEFT(C12,FIND(" ",C12)-1)), "")</f>
        <v>22</v>
      </c>
    </row>
    <row r="13" spans="1:12" x14ac:dyDescent="0.3">
      <c r="A13" s="3" t="s">
        <v>356</v>
      </c>
      <c r="B13" s="3" t="s">
        <v>369</v>
      </c>
      <c r="C13" s="3" t="s">
        <v>233</v>
      </c>
      <c r="D13" s="3">
        <v>550</v>
      </c>
      <c r="E13" s="3">
        <v>150</v>
      </c>
      <c r="F13" s="3">
        <v>16</v>
      </c>
      <c r="G13" s="3">
        <v>25</v>
      </c>
      <c r="H13" s="3">
        <v>10</v>
      </c>
      <c r="I13" s="3">
        <v>52</v>
      </c>
      <c r="J13" s="3">
        <v>1</v>
      </c>
      <c r="K13" s="3">
        <v>60</v>
      </c>
      <c r="L13">
        <f>IFERROR(VALUE(LEFT(C13,FIND(" ",C13)-1)), "")</f>
        <v>12</v>
      </c>
    </row>
    <row r="14" spans="1:12" x14ac:dyDescent="0.3">
      <c r="A14" s="3" t="s">
        <v>356</v>
      </c>
      <c r="B14" s="3" t="s">
        <v>370</v>
      </c>
      <c r="C14" s="3" t="s">
        <v>227</v>
      </c>
      <c r="D14" s="3">
        <v>690</v>
      </c>
      <c r="E14" s="3">
        <v>180</v>
      </c>
      <c r="F14" s="3">
        <v>20</v>
      </c>
      <c r="G14" s="3">
        <v>30</v>
      </c>
      <c r="H14" s="3">
        <v>13</v>
      </c>
      <c r="I14" s="3">
        <v>63</v>
      </c>
      <c r="J14" s="3">
        <v>1</v>
      </c>
      <c r="K14" s="3">
        <v>75</v>
      </c>
      <c r="L14">
        <f>IFERROR(VALUE(LEFT(C14,FIND(" ",C14)-1)), "")</f>
        <v>16</v>
      </c>
    </row>
    <row r="15" spans="1:12" x14ac:dyDescent="0.3">
      <c r="A15" s="3" t="s">
        <v>356</v>
      </c>
      <c r="B15" s="3" t="s">
        <v>371</v>
      </c>
      <c r="C15" s="3" t="s">
        <v>256</v>
      </c>
      <c r="D15" s="3">
        <v>850</v>
      </c>
      <c r="E15" s="3">
        <v>210</v>
      </c>
      <c r="F15" s="3">
        <v>24</v>
      </c>
      <c r="G15" s="3">
        <v>36</v>
      </c>
      <c r="H15" s="3">
        <v>15</v>
      </c>
      <c r="I15" s="3">
        <v>75</v>
      </c>
      <c r="J15" s="3">
        <v>1</v>
      </c>
      <c r="K15" s="3">
        <v>90</v>
      </c>
      <c r="L15">
        <f>IFERROR(VALUE(LEFT(C15,FIND(" ",C15)-1)), "")</f>
        <v>22</v>
      </c>
    </row>
    <row r="16" spans="1:12" x14ac:dyDescent="0.3">
      <c r="A16" s="3" t="s">
        <v>356</v>
      </c>
      <c r="B16" s="3" t="s">
        <v>372</v>
      </c>
      <c r="C16" s="3" t="s">
        <v>233</v>
      </c>
      <c r="D16" s="3">
        <v>560</v>
      </c>
      <c r="E16" s="3">
        <v>150</v>
      </c>
      <c r="F16" s="3">
        <v>16</v>
      </c>
      <c r="G16" s="3">
        <v>25</v>
      </c>
      <c r="H16" s="3">
        <v>10</v>
      </c>
      <c r="I16" s="3">
        <v>51</v>
      </c>
      <c r="J16" s="3">
        <v>1</v>
      </c>
      <c r="K16" s="3">
        <v>60</v>
      </c>
      <c r="L16">
        <f>IFERROR(VALUE(LEFT(C16,FIND(" ",C16)-1)), "")</f>
        <v>12</v>
      </c>
    </row>
    <row r="17" spans="1:12" x14ac:dyDescent="0.3">
      <c r="A17" s="3" t="s">
        <v>356</v>
      </c>
      <c r="B17" s="3" t="s">
        <v>373</v>
      </c>
      <c r="C17" s="3" t="s">
        <v>227</v>
      </c>
      <c r="D17" s="3">
        <v>700</v>
      </c>
      <c r="E17" s="3">
        <v>180</v>
      </c>
      <c r="F17" s="3">
        <v>20</v>
      </c>
      <c r="G17" s="3">
        <v>30</v>
      </c>
      <c r="H17" s="3">
        <v>12</v>
      </c>
      <c r="I17" s="3">
        <v>62</v>
      </c>
      <c r="J17" s="3">
        <v>1</v>
      </c>
      <c r="K17" s="3">
        <v>75</v>
      </c>
      <c r="L17">
        <f>IFERROR(VALUE(LEFT(C17,FIND(" ",C17)-1)), "")</f>
        <v>16</v>
      </c>
    </row>
    <row r="18" spans="1:12" x14ac:dyDescent="0.3">
      <c r="A18" s="3" t="s">
        <v>356</v>
      </c>
      <c r="B18" s="3" t="s">
        <v>374</v>
      </c>
      <c r="C18" s="3" t="s">
        <v>256</v>
      </c>
      <c r="D18" s="3">
        <v>850</v>
      </c>
      <c r="E18" s="3">
        <v>210</v>
      </c>
      <c r="F18" s="3">
        <v>23</v>
      </c>
      <c r="G18" s="3">
        <v>36</v>
      </c>
      <c r="H18" s="3">
        <v>15</v>
      </c>
      <c r="I18" s="3">
        <v>74</v>
      </c>
      <c r="J18" s="3">
        <v>1</v>
      </c>
      <c r="K18" s="3">
        <v>85</v>
      </c>
      <c r="L18">
        <f>IFERROR(VALUE(LEFT(C18,FIND(" ",C18)-1)), "")</f>
        <v>22</v>
      </c>
    </row>
    <row r="19" spans="1:12" x14ac:dyDescent="0.3">
      <c r="A19" s="3" t="s">
        <v>356</v>
      </c>
      <c r="B19" s="3" t="s">
        <v>375</v>
      </c>
      <c r="C19" s="3" t="s">
        <v>227</v>
      </c>
      <c r="D19" s="3">
        <v>660</v>
      </c>
      <c r="E19" s="3">
        <v>170</v>
      </c>
      <c r="F19" s="3">
        <v>19</v>
      </c>
      <c r="G19" s="3">
        <v>29</v>
      </c>
      <c r="H19" s="3">
        <v>12</v>
      </c>
      <c r="I19" s="3">
        <v>61</v>
      </c>
      <c r="J19" s="3">
        <v>1</v>
      </c>
      <c r="K19" s="3">
        <v>75</v>
      </c>
      <c r="L19">
        <f>IFERROR(VALUE(LEFT(C19,FIND(" ",C19)-1)), "")</f>
        <v>16</v>
      </c>
    </row>
    <row r="20" spans="1:12" x14ac:dyDescent="0.3">
      <c r="A20" s="3" t="s">
        <v>356</v>
      </c>
      <c r="B20" s="3" t="s">
        <v>376</v>
      </c>
      <c r="C20" s="3" t="s">
        <v>256</v>
      </c>
      <c r="D20" s="3">
        <v>820</v>
      </c>
      <c r="E20" s="3">
        <v>210</v>
      </c>
      <c r="F20" s="3">
        <v>23</v>
      </c>
      <c r="G20" s="3">
        <v>35</v>
      </c>
      <c r="H20" s="3">
        <v>15</v>
      </c>
      <c r="I20" s="3">
        <v>73</v>
      </c>
      <c r="J20" s="3">
        <v>1</v>
      </c>
      <c r="K20" s="3">
        <v>90</v>
      </c>
      <c r="L20">
        <f>IFERROR(VALUE(LEFT(C20,FIND(" ",C20)-1)), "")</f>
        <v>22</v>
      </c>
    </row>
    <row r="21" spans="1:12" x14ac:dyDescent="0.3">
      <c r="A21" s="3" t="s">
        <v>356</v>
      </c>
      <c r="B21" s="3" t="s">
        <v>377</v>
      </c>
      <c r="C21" s="3" t="s">
        <v>153</v>
      </c>
      <c r="D21" s="3">
        <v>650</v>
      </c>
      <c r="E21" s="3">
        <v>210</v>
      </c>
      <c r="F21" s="3">
        <v>23</v>
      </c>
      <c r="G21" s="3">
        <v>35</v>
      </c>
      <c r="H21" s="3">
        <v>14</v>
      </c>
      <c r="I21" s="3">
        <v>72</v>
      </c>
      <c r="J21" s="3">
        <v>0.5</v>
      </c>
      <c r="K21" s="3">
        <v>50</v>
      </c>
      <c r="L21">
        <f>IFERROR(VALUE(LEFT(C21,FIND(" ",C21)-1)), "")</f>
        <v>10.9</v>
      </c>
    </row>
    <row r="22" spans="1:12" x14ac:dyDescent="0.3">
      <c r="A22" s="3" t="s">
        <v>356</v>
      </c>
      <c r="B22" s="3" t="s">
        <v>378</v>
      </c>
      <c r="C22" s="3" t="s">
        <v>379</v>
      </c>
      <c r="D22" s="3">
        <v>930</v>
      </c>
      <c r="E22" s="3">
        <v>290</v>
      </c>
      <c r="F22" s="3">
        <v>33</v>
      </c>
      <c r="G22" s="3">
        <v>50</v>
      </c>
      <c r="H22" s="3">
        <v>20</v>
      </c>
      <c r="I22" s="3">
        <v>102</v>
      </c>
      <c r="J22" s="3">
        <v>1</v>
      </c>
      <c r="K22" s="3">
        <v>75</v>
      </c>
      <c r="L22">
        <f>IFERROR(VALUE(LEFT(C22,FIND(" ",C22)-1)), "")</f>
        <v>16.2</v>
      </c>
    </row>
    <row r="23" spans="1:12" x14ac:dyDescent="0.3">
      <c r="A23" s="3" t="s">
        <v>356</v>
      </c>
      <c r="B23" s="3" t="s">
        <v>380</v>
      </c>
      <c r="C23" s="3" t="s">
        <v>381</v>
      </c>
      <c r="D23" s="3">
        <v>430</v>
      </c>
      <c r="E23" s="3">
        <v>140</v>
      </c>
      <c r="F23" s="3">
        <v>15</v>
      </c>
      <c r="G23" s="3">
        <v>24</v>
      </c>
      <c r="H23" s="3">
        <v>10</v>
      </c>
      <c r="I23" s="3">
        <v>48</v>
      </c>
      <c r="J23" s="3">
        <v>0</v>
      </c>
      <c r="K23" s="3">
        <v>35</v>
      </c>
      <c r="L23">
        <f>IFERROR(VALUE(LEFT(C23,FIND(" ",C23)-1)), "")</f>
        <v>7.3</v>
      </c>
    </row>
    <row r="24" spans="1:12" x14ac:dyDescent="0.3">
      <c r="A24" s="3" t="s">
        <v>356</v>
      </c>
      <c r="B24" s="3" t="s">
        <v>382</v>
      </c>
      <c r="C24" s="3" t="s">
        <v>383</v>
      </c>
      <c r="D24" s="3">
        <v>510</v>
      </c>
      <c r="E24" s="3">
        <v>150</v>
      </c>
      <c r="F24" s="3">
        <v>17</v>
      </c>
      <c r="G24" s="3">
        <v>26</v>
      </c>
      <c r="H24" s="3">
        <v>9</v>
      </c>
      <c r="I24" s="3">
        <v>44</v>
      </c>
      <c r="J24" s="3">
        <v>0.5</v>
      </c>
      <c r="K24" s="3">
        <v>45</v>
      </c>
      <c r="L24">
        <f>IFERROR(VALUE(LEFT(C24,FIND(" ",C24)-1)), "")</f>
        <v>10.1</v>
      </c>
    </row>
    <row r="25" spans="1:12" x14ac:dyDescent="0.3">
      <c r="A25" s="3" t="s">
        <v>356</v>
      </c>
      <c r="B25" s="3" t="s">
        <v>384</v>
      </c>
      <c r="C25" s="3" t="s">
        <v>385</v>
      </c>
      <c r="D25" s="3">
        <v>690</v>
      </c>
      <c r="E25" s="3">
        <v>200</v>
      </c>
      <c r="F25" s="3">
        <v>23</v>
      </c>
      <c r="G25" s="3">
        <v>35</v>
      </c>
      <c r="H25" s="3">
        <v>12</v>
      </c>
      <c r="I25" s="3">
        <v>58</v>
      </c>
      <c r="J25" s="3">
        <v>1</v>
      </c>
      <c r="K25" s="3">
        <v>55</v>
      </c>
      <c r="L25">
        <f>IFERROR(VALUE(LEFT(C25,FIND(" ",C25)-1)), "")</f>
        <v>13.4</v>
      </c>
    </row>
    <row r="26" spans="1:12" x14ac:dyDescent="0.3">
      <c r="A26" s="3" t="s">
        <v>356</v>
      </c>
      <c r="B26" s="3" t="s">
        <v>386</v>
      </c>
      <c r="C26" s="3" t="s">
        <v>119</v>
      </c>
      <c r="D26" s="3">
        <v>340</v>
      </c>
      <c r="E26" s="3">
        <v>100</v>
      </c>
      <c r="F26" s="3">
        <v>11</v>
      </c>
      <c r="G26" s="3">
        <v>17</v>
      </c>
      <c r="H26" s="3">
        <v>6</v>
      </c>
      <c r="I26" s="3">
        <v>29</v>
      </c>
      <c r="J26" s="3">
        <v>0</v>
      </c>
      <c r="K26" s="3">
        <v>30</v>
      </c>
      <c r="L26">
        <f>IFERROR(VALUE(LEFT(C26,FIND(" ",C26)-1)), "")</f>
        <v>6.7</v>
      </c>
    </row>
    <row r="27" spans="1:12" x14ac:dyDescent="0.3">
      <c r="A27" s="3" t="s">
        <v>356</v>
      </c>
      <c r="B27" s="3" t="s">
        <v>387</v>
      </c>
      <c r="C27" s="3" t="s">
        <v>388</v>
      </c>
      <c r="D27" s="3">
        <v>810</v>
      </c>
      <c r="E27" s="3">
        <v>290</v>
      </c>
      <c r="F27" s="3">
        <v>32</v>
      </c>
      <c r="G27" s="3">
        <v>50</v>
      </c>
      <c r="H27" s="3">
        <v>15</v>
      </c>
      <c r="I27" s="3">
        <v>76</v>
      </c>
      <c r="J27" s="3">
        <v>1</v>
      </c>
      <c r="K27" s="3">
        <v>60</v>
      </c>
      <c r="L27">
        <f>IFERROR(VALUE(LEFT(C27,FIND(" ",C27)-1)), "")</f>
        <v>14.2</v>
      </c>
    </row>
    <row r="28" spans="1:12" x14ac:dyDescent="0.3">
      <c r="A28" s="3" t="s">
        <v>356</v>
      </c>
      <c r="B28" s="3" t="s">
        <v>389</v>
      </c>
      <c r="C28" s="3" t="s">
        <v>100</v>
      </c>
      <c r="D28" s="3">
        <v>410</v>
      </c>
      <c r="E28" s="3">
        <v>150</v>
      </c>
      <c r="F28" s="3">
        <v>16</v>
      </c>
      <c r="G28" s="3">
        <v>25</v>
      </c>
      <c r="H28" s="3">
        <v>8</v>
      </c>
      <c r="I28" s="3">
        <v>38</v>
      </c>
      <c r="J28" s="3">
        <v>0</v>
      </c>
      <c r="K28" s="3">
        <v>30</v>
      </c>
      <c r="L28">
        <f>IFERROR(VALUE(LEFT(C28,FIND(" ",C28)-1)), "")</f>
        <v>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D552-57A1-40BD-8FE9-3C438B4BDAD8}">
  <dimension ref="A1:L95"/>
  <sheetViews>
    <sheetView workbookViewId="0">
      <selection sqref="A1:L95"/>
    </sheetView>
  </sheetViews>
  <sheetFormatPr defaultRowHeight="14.4" x14ac:dyDescent="0.3"/>
  <sheetData>
    <row r="1" spans="1:12" x14ac:dyDescent="0.3">
      <c r="A1" s="3" t="s">
        <v>258</v>
      </c>
      <c r="B1" s="3" t="s">
        <v>259</v>
      </c>
      <c r="C1" s="3" t="s">
        <v>227</v>
      </c>
      <c r="D1" s="3">
        <v>0</v>
      </c>
      <c r="E1" s="3">
        <v>0</v>
      </c>
      <c r="F1" s="3">
        <v>0</v>
      </c>
      <c r="G1" s="3">
        <v>0</v>
      </c>
      <c r="H1" s="3">
        <v>0</v>
      </c>
      <c r="I1" s="3">
        <v>0</v>
      </c>
      <c r="J1" s="3">
        <v>0</v>
      </c>
      <c r="K1" s="3">
        <v>0</v>
      </c>
      <c r="L1">
        <f>IFERROR(VALUE(LEFT(C1,FIND(" ",C1)-1)), "")</f>
        <v>16</v>
      </c>
    </row>
    <row r="2" spans="1:12" x14ac:dyDescent="0.3">
      <c r="A2" s="3" t="s">
        <v>258</v>
      </c>
      <c r="B2" s="3" t="s">
        <v>260</v>
      </c>
      <c r="C2" s="3" t="s">
        <v>229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>
        <f>IFERROR(VALUE(LEFT(C2,FIND(" ",C2)-1)), "")</f>
        <v>21</v>
      </c>
    </row>
    <row r="3" spans="1:12" x14ac:dyDescent="0.3">
      <c r="A3" s="3" t="s">
        <v>258</v>
      </c>
      <c r="B3" s="3" t="s">
        <v>261</v>
      </c>
      <c r="C3" s="3" t="s">
        <v>231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>
        <f>IFERROR(VALUE(LEFT(C3,FIND(" ",C3)-1)), "")</f>
        <v>30</v>
      </c>
    </row>
    <row r="4" spans="1:12" x14ac:dyDescent="0.3">
      <c r="A4" s="3" t="s">
        <v>258</v>
      </c>
      <c r="B4" s="3" t="s">
        <v>262</v>
      </c>
      <c r="C4" s="3" t="s">
        <v>233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>
        <f>IFERROR(VALUE(LEFT(C4,FIND(" ",C4)-1)), "")</f>
        <v>12</v>
      </c>
    </row>
    <row r="5" spans="1:12" x14ac:dyDescent="0.3">
      <c r="A5" s="3" t="s">
        <v>258</v>
      </c>
      <c r="B5" s="3" t="s">
        <v>263</v>
      </c>
      <c r="C5" s="3" t="s">
        <v>227</v>
      </c>
      <c r="D5" s="3">
        <v>150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>
        <f>IFERROR(VALUE(LEFT(C5,FIND(" ",C5)-1)), "")</f>
        <v>16</v>
      </c>
    </row>
    <row r="6" spans="1:12" x14ac:dyDescent="0.3">
      <c r="A6" s="3" t="s">
        <v>258</v>
      </c>
      <c r="B6" s="3" t="s">
        <v>264</v>
      </c>
      <c r="C6" s="3" t="s">
        <v>229</v>
      </c>
      <c r="D6" s="3">
        <v>180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>
        <f>IFERROR(VALUE(LEFT(C6,FIND(" ",C6)-1)), "")</f>
        <v>21</v>
      </c>
    </row>
    <row r="7" spans="1:12" x14ac:dyDescent="0.3">
      <c r="A7" s="3" t="s">
        <v>258</v>
      </c>
      <c r="B7" s="3" t="s">
        <v>265</v>
      </c>
      <c r="C7" s="3" t="s">
        <v>231</v>
      </c>
      <c r="D7" s="3">
        <v>220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>
        <f>IFERROR(VALUE(LEFT(C7,FIND(" ",C7)-1)), "")</f>
        <v>30</v>
      </c>
    </row>
    <row r="8" spans="1:12" x14ac:dyDescent="0.3">
      <c r="A8" s="3" t="s">
        <v>258</v>
      </c>
      <c r="B8" s="3" t="s">
        <v>266</v>
      </c>
      <c r="C8" s="3" t="s">
        <v>233</v>
      </c>
      <c r="D8" s="3">
        <v>110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>
        <f>IFERROR(VALUE(LEFT(C8,FIND(" ",C8)-1)), "")</f>
        <v>12</v>
      </c>
    </row>
    <row r="9" spans="1:12" x14ac:dyDescent="0.3">
      <c r="A9" s="3" t="s">
        <v>258</v>
      </c>
      <c r="B9" s="3" t="s">
        <v>267</v>
      </c>
      <c r="C9" s="3" t="s">
        <v>233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>
        <f>IFERROR(VALUE(LEFT(C9,FIND(" ",C9)-1)), "")</f>
        <v>12</v>
      </c>
    </row>
    <row r="10" spans="1:12" x14ac:dyDescent="0.3">
      <c r="A10" s="3" t="s">
        <v>258</v>
      </c>
      <c r="B10" s="3" t="s">
        <v>268</v>
      </c>
      <c r="C10" s="3" t="s">
        <v>227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>
        <f>IFERROR(VALUE(LEFT(C10,FIND(" ",C10)-1)), "")</f>
        <v>16</v>
      </c>
    </row>
    <row r="11" spans="1:12" x14ac:dyDescent="0.3">
      <c r="A11" s="3" t="s">
        <v>258</v>
      </c>
      <c r="B11" s="3" t="s">
        <v>269</v>
      </c>
      <c r="C11" s="3" t="s">
        <v>227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>
        <f>IFERROR(VALUE(LEFT(C11,FIND(" ",C11)-1)), "")</f>
        <v>16</v>
      </c>
    </row>
    <row r="12" spans="1:12" x14ac:dyDescent="0.3">
      <c r="A12" s="3" t="s">
        <v>258</v>
      </c>
      <c r="B12" s="3" t="s">
        <v>270</v>
      </c>
      <c r="C12" s="3" t="s">
        <v>233</v>
      </c>
      <c r="D12" s="3">
        <v>170</v>
      </c>
      <c r="E12" s="3">
        <v>80</v>
      </c>
      <c r="F12" s="3">
        <v>9</v>
      </c>
      <c r="G12" s="3">
        <v>13</v>
      </c>
      <c r="H12" s="3">
        <v>5</v>
      </c>
      <c r="I12" s="3">
        <v>24</v>
      </c>
      <c r="J12" s="3">
        <v>0</v>
      </c>
      <c r="K12" s="3">
        <v>25</v>
      </c>
      <c r="L12">
        <f>IFERROR(VALUE(LEFT(C12,FIND(" ",C12)-1)), "")</f>
        <v>12</v>
      </c>
    </row>
    <row r="13" spans="1:12" x14ac:dyDescent="0.3">
      <c r="A13" s="3" t="s">
        <v>258</v>
      </c>
      <c r="B13" s="3" t="s">
        <v>271</v>
      </c>
      <c r="C13" s="3" t="s">
        <v>227</v>
      </c>
      <c r="D13" s="3">
        <v>210</v>
      </c>
      <c r="E13" s="3">
        <v>90</v>
      </c>
      <c r="F13" s="3">
        <v>10</v>
      </c>
      <c r="G13" s="3">
        <v>16</v>
      </c>
      <c r="H13" s="3">
        <v>6</v>
      </c>
      <c r="I13" s="3">
        <v>30</v>
      </c>
      <c r="J13" s="3">
        <v>0</v>
      </c>
      <c r="K13" s="3">
        <v>30</v>
      </c>
      <c r="L13">
        <f>IFERROR(VALUE(LEFT(C13,FIND(" ",C13)-1)), "")</f>
        <v>16</v>
      </c>
    </row>
    <row r="14" spans="1:12" x14ac:dyDescent="0.3">
      <c r="A14" s="3" t="s">
        <v>258</v>
      </c>
      <c r="B14" s="3" t="s">
        <v>272</v>
      </c>
      <c r="C14" s="3" t="s">
        <v>273</v>
      </c>
      <c r="D14" s="3">
        <v>280</v>
      </c>
      <c r="E14" s="3">
        <v>120</v>
      </c>
      <c r="F14" s="3">
        <v>14</v>
      </c>
      <c r="G14" s="3">
        <v>21</v>
      </c>
      <c r="H14" s="3">
        <v>8</v>
      </c>
      <c r="I14" s="3">
        <v>39</v>
      </c>
      <c r="J14" s="3">
        <v>0</v>
      </c>
      <c r="K14" s="3">
        <v>40</v>
      </c>
      <c r="L14">
        <f>IFERROR(VALUE(LEFT(C14,FIND(" ",C14)-1)), "")</f>
        <v>20</v>
      </c>
    </row>
    <row r="15" spans="1:12" x14ac:dyDescent="0.3">
      <c r="A15" s="3" t="s">
        <v>258</v>
      </c>
      <c r="B15" s="3" t="s">
        <v>274</v>
      </c>
      <c r="C15" s="3" t="s">
        <v>233</v>
      </c>
      <c r="D15" s="3">
        <v>270</v>
      </c>
      <c r="E15" s="3">
        <v>80</v>
      </c>
      <c r="F15" s="3">
        <v>9</v>
      </c>
      <c r="G15" s="3">
        <v>13</v>
      </c>
      <c r="H15" s="3">
        <v>5</v>
      </c>
      <c r="I15" s="3">
        <v>24</v>
      </c>
      <c r="J15" s="3">
        <v>0</v>
      </c>
      <c r="K15" s="3">
        <v>25</v>
      </c>
      <c r="L15">
        <f>IFERROR(VALUE(LEFT(C15,FIND(" ",C15)-1)), "")</f>
        <v>12</v>
      </c>
    </row>
    <row r="16" spans="1:12" x14ac:dyDescent="0.3">
      <c r="A16" s="3" t="s">
        <v>258</v>
      </c>
      <c r="B16" s="3" t="s">
        <v>275</v>
      </c>
      <c r="C16" s="3" t="s">
        <v>227</v>
      </c>
      <c r="D16" s="3">
        <v>340</v>
      </c>
      <c r="E16" s="3">
        <v>90</v>
      </c>
      <c r="F16" s="3">
        <v>10</v>
      </c>
      <c r="G16" s="3">
        <v>16</v>
      </c>
      <c r="H16" s="3">
        <v>6</v>
      </c>
      <c r="I16" s="3">
        <v>30</v>
      </c>
      <c r="J16" s="3">
        <v>0</v>
      </c>
      <c r="K16" s="3">
        <v>30</v>
      </c>
      <c r="L16">
        <f>IFERROR(VALUE(LEFT(C16,FIND(" ",C16)-1)), "")</f>
        <v>16</v>
      </c>
    </row>
    <row r="17" spans="1:12" x14ac:dyDescent="0.3">
      <c r="A17" s="3" t="s">
        <v>258</v>
      </c>
      <c r="B17" s="3" t="s">
        <v>276</v>
      </c>
      <c r="C17" s="3" t="s">
        <v>273</v>
      </c>
      <c r="D17" s="3">
        <v>430</v>
      </c>
      <c r="E17" s="3">
        <v>120</v>
      </c>
      <c r="F17" s="3">
        <v>14</v>
      </c>
      <c r="G17" s="3">
        <v>21</v>
      </c>
      <c r="H17" s="3">
        <v>8</v>
      </c>
      <c r="I17" s="3">
        <v>39</v>
      </c>
      <c r="J17" s="3">
        <v>0</v>
      </c>
      <c r="K17" s="3">
        <v>40</v>
      </c>
      <c r="L17">
        <f>IFERROR(VALUE(LEFT(C17,FIND(" ",C17)-1)), "")</f>
        <v>20</v>
      </c>
    </row>
    <row r="18" spans="1:12" x14ac:dyDescent="0.3">
      <c r="A18" s="3" t="s">
        <v>258</v>
      </c>
      <c r="B18" s="3" t="s">
        <v>277</v>
      </c>
      <c r="C18" s="3" t="s">
        <v>233</v>
      </c>
      <c r="D18" s="3">
        <v>270</v>
      </c>
      <c r="E18" s="3">
        <v>80</v>
      </c>
      <c r="F18" s="3">
        <v>9</v>
      </c>
      <c r="G18" s="3">
        <v>13</v>
      </c>
      <c r="H18" s="3">
        <v>5</v>
      </c>
      <c r="I18" s="3">
        <v>24</v>
      </c>
      <c r="J18" s="3">
        <v>0</v>
      </c>
      <c r="K18" s="3">
        <v>25</v>
      </c>
      <c r="L18">
        <f>IFERROR(VALUE(LEFT(C18,FIND(" ",C18)-1)), "")</f>
        <v>12</v>
      </c>
    </row>
    <row r="19" spans="1:12" x14ac:dyDescent="0.3">
      <c r="A19" s="3" t="s">
        <v>258</v>
      </c>
      <c r="B19" s="3" t="s">
        <v>278</v>
      </c>
      <c r="C19" s="3" t="s">
        <v>227</v>
      </c>
      <c r="D19" s="3">
        <v>330</v>
      </c>
      <c r="E19" s="3">
        <v>90</v>
      </c>
      <c r="F19" s="3">
        <v>10</v>
      </c>
      <c r="G19" s="3">
        <v>16</v>
      </c>
      <c r="H19" s="3">
        <v>6</v>
      </c>
      <c r="I19" s="3">
        <v>30</v>
      </c>
      <c r="J19" s="3">
        <v>0</v>
      </c>
      <c r="K19" s="3">
        <v>30</v>
      </c>
      <c r="L19">
        <f>IFERROR(VALUE(LEFT(C19,FIND(" ",C19)-1)), "")</f>
        <v>16</v>
      </c>
    </row>
    <row r="20" spans="1:12" x14ac:dyDescent="0.3">
      <c r="A20" s="3" t="s">
        <v>258</v>
      </c>
      <c r="B20" s="3" t="s">
        <v>279</v>
      </c>
      <c r="C20" s="3" t="s">
        <v>273</v>
      </c>
      <c r="D20" s="3">
        <v>430</v>
      </c>
      <c r="E20" s="3">
        <v>120</v>
      </c>
      <c r="F20" s="3">
        <v>14</v>
      </c>
      <c r="G20" s="3">
        <v>21</v>
      </c>
      <c r="H20" s="3">
        <v>8</v>
      </c>
      <c r="I20" s="3">
        <v>39</v>
      </c>
      <c r="J20" s="3">
        <v>0</v>
      </c>
      <c r="K20" s="3">
        <v>40</v>
      </c>
      <c r="L20">
        <f>IFERROR(VALUE(LEFT(C20,FIND(" ",C20)-1)), "")</f>
        <v>20</v>
      </c>
    </row>
    <row r="21" spans="1:12" x14ac:dyDescent="0.3">
      <c r="A21" s="3" t="s">
        <v>258</v>
      </c>
      <c r="B21" s="3" t="s">
        <v>280</v>
      </c>
      <c r="C21" s="3" t="s">
        <v>233</v>
      </c>
      <c r="D21" s="3">
        <v>260</v>
      </c>
      <c r="E21" s="3">
        <v>80</v>
      </c>
      <c r="F21" s="3">
        <v>9</v>
      </c>
      <c r="G21" s="3">
        <v>13</v>
      </c>
      <c r="H21" s="3">
        <v>5</v>
      </c>
      <c r="I21" s="3">
        <v>24</v>
      </c>
      <c r="J21" s="3">
        <v>0</v>
      </c>
      <c r="K21" s="3">
        <v>25</v>
      </c>
      <c r="L21">
        <f>IFERROR(VALUE(LEFT(C21,FIND(" ",C21)-1)), "")</f>
        <v>12</v>
      </c>
    </row>
    <row r="22" spans="1:12" x14ac:dyDescent="0.3">
      <c r="A22" s="3" t="s">
        <v>258</v>
      </c>
      <c r="B22" s="3" t="s">
        <v>281</v>
      </c>
      <c r="C22" s="3" t="s">
        <v>227</v>
      </c>
      <c r="D22" s="3">
        <v>330</v>
      </c>
      <c r="E22" s="3">
        <v>90</v>
      </c>
      <c r="F22" s="3">
        <v>10</v>
      </c>
      <c r="G22" s="3">
        <v>16</v>
      </c>
      <c r="H22" s="3">
        <v>6</v>
      </c>
      <c r="I22" s="3">
        <v>30</v>
      </c>
      <c r="J22" s="3">
        <v>0</v>
      </c>
      <c r="K22" s="3">
        <v>30</v>
      </c>
      <c r="L22">
        <f>IFERROR(VALUE(LEFT(C22,FIND(" ",C22)-1)), "")</f>
        <v>16</v>
      </c>
    </row>
    <row r="23" spans="1:12" x14ac:dyDescent="0.3">
      <c r="A23" s="3" t="s">
        <v>258</v>
      </c>
      <c r="B23" s="3" t="s">
        <v>282</v>
      </c>
      <c r="C23" s="3" t="s">
        <v>273</v>
      </c>
      <c r="D23" s="3">
        <v>420</v>
      </c>
      <c r="E23" s="3">
        <v>120</v>
      </c>
      <c r="F23" s="3">
        <v>14</v>
      </c>
      <c r="G23" s="3">
        <v>21</v>
      </c>
      <c r="H23" s="3">
        <v>8</v>
      </c>
      <c r="I23" s="3">
        <v>39</v>
      </c>
      <c r="J23" s="3">
        <v>0</v>
      </c>
      <c r="K23" s="3">
        <v>40</v>
      </c>
      <c r="L23">
        <f>IFERROR(VALUE(LEFT(C23,FIND(" ",C23)-1)), "")</f>
        <v>20</v>
      </c>
    </row>
    <row r="24" spans="1:12" x14ac:dyDescent="0.3">
      <c r="A24" s="3" t="s">
        <v>258</v>
      </c>
      <c r="B24" s="3" t="s">
        <v>283</v>
      </c>
      <c r="C24" s="3" t="s">
        <v>233</v>
      </c>
      <c r="D24" s="3">
        <v>210</v>
      </c>
      <c r="E24" s="3">
        <v>80</v>
      </c>
      <c r="F24" s="3">
        <v>9</v>
      </c>
      <c r="G24" s="3">
        <v>13</v>
      </c>
      <c r="H24" s="3">
        <v>5</v>
      </c>
      <c r="I24" s="3">
        <v>24</v>
      </c>
      <c r="J24" s="3">
        <v>0</v>
      </c>
      <c r="K24" s="3">
        <v>25</v>
      </c>
      <c r="L24">
        <f>IFERROR(VALUE(LEFT(C24,FIND(" ",C24)-1)), "")</f>
        <v>12</v>
      </c>
    </row>
    <row r="25" spans="1:12" x14ac:dyDescent="0.3">
      <c r="A25" s="3" t="s">
        <v>258</v>
      </c>
      <c r="B25" s="3" t="s">
        <v>284</v>
      </c>
      <c r="C25" s="3" t="s">
        <v>227</v>
      </c>
      <c r="D25" s="3">
        <v>260</v>
      </c>
      <c r="E25" s="3">
        <v>90</v>
      </c>
      <c r="F25" s="3">
        <v>10</v>
      </c>
      <c r="G25" s="3">
        <v>16</v>
      </c>
      <c r="H25" s="3">
        <v>6</v>
      </c>
      <c r="I25" s="3">
        <v>30</v>
      </c>
      <c r="J25" s="3">
        <v>0</v>
      </c>
      <c r="K25" s="3">
        <v>30</v>
      </c>
      <c r="L25">
        <f>IFERROR(VALUE(LEFT(C25,FIND(" ",C25)-1)), "")</f>
        <v>16</v>
      </c>
    </row>
    <row r="26" spans="1:12" x14ac:dyDescent="0.3">
      <c r="A26" s="3" t="s">
        <v>258</v>
      </c>
      <c r="B26" s="3" t="s">
        <v>285</v>
      </c>
      <c r="C26" s="3" t="s">
        <v>273</v>
      </c>
      <c r="D26" s="3">
        <v>330</v>
      </c>
      <c r="E26" s="3">
        <v>120</v>
      </c>
      <c r="F26" s="3">
        <v>14</v>
      </c>
      <c r="G26" s="3">
        <v>21</v>
      </c>
      <c r="H26" s="3">
        <v>8</v>
      </c>
      <c r="I26" s="3">
        <v>39</v>
      </c>
      <c r="J26" s="3">
        <v>0</v>
      </c>
      <c r="K26" s="3">
        <v>40</v>
      </c>
      <c r="L26">
        <f>IFERROR(VALUE(LEFT(C26,FIND(" ",C26)-1)), "")</f>
        <v>20</v>
      </c>
    </row>
    <row r="27" spans="1:12" x14ac:dyDescent="0.3">
      <c r="A27" s="3" t="s">
        <v>258</v>
      </c>
      <c r="B27" s="3" t="s">
        <v>286</v>
      </c>
      <c r="C27" s="3" t="s">
        <v>233</v>
      </c>
      <c r="D27" s="3">
        <v>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5</v>
      </c>
      <c r="L27">
        <f>IFERROR(VALUE(LEFT(C27,FIND(" ",C27)-1)), "")</f>
        <v>12</v>
      </c>
    </row>
    <row r="28" spans="1:12" x14ac:dyDescent="0.3">
      <c r="A28" s="3" t="s">
        <v>258</v>
      </c>
      <c r="B28" s="3" t="s">
        <v>287</v>
      </c>
      <c r="C28" s="3" t="s">
        <v>227</v>
      </c>
      <c r="D28" s="3">
        <v>130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5</v>
      </c>
      <c r="L28">
        <f>IFERROR(VALUE(LEFT(C28,FIND(" ",C28)-1)), "")</f>
        <v>16</v>
      </c>
    </row>
    <row r="29" spans="1:12" x14ac:dyDescent="0.3">
      <c r="A29" s="3" t="s">
        <v>258</v>
      </c>
      <c r="B29" s="3" t="s">
        <v>288</v>
      </c>
      <c r="C29" s="3" t="s">
        <v>273</v>
      </c>
      <c r="D29" s="3">
        <v>170</v>
      </c>
      <c r="E29" s="3">
        <v>0</v>
      </c>
      <c r="F29" s="3">
        <v>0.5</v>
      </c>
      <c r="G29" s="3">
        <v>1</v>
      </c>
      <c r="H29" s="3">
        <v>0</v>
      </c>
      <c r="I29" s="3">
        <v>0</v>
      </c>
      <c r="J29" s="3">
        <v>0</v>
      </c>
      <c r="K29" s="3">
        <v>10</v>
      </c>
      <c r="L29">
        <f>IFERROR(VALUE(LEFT(C29,FIND(" ",C29)-1)), "")</f>
        <v>20</v>
      </c>
    </row>
    <row r="30" spans="1:12" x14ac:dyDescent="0.3">
      <c r="A30" s="3" t="s">
        <v>258</v>
      </c>
      <c r="B30" s="3" t="s">
        <v>289</v>
      </c>
      <c r="C30" s="3" t="s">
        <v>233</v>
      </c>
      <c r="D30" s="3">
        <v>200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</v>
      </c>
      <c r="L30">
        <f>IFERROR(VALUE(LEFT(C30,FIND(" ",C30)-1)), "")</f>
        <v>12</v>
      </c>
    </row>
    <row r="31" spans="1:12" x14ac:dyDescent="0.3">
      <c r="A31" s="3" t="s">
        <v>258</v>
      </c>
      <c r="B31" s="3" t="s">
        <v>290</v>
      </c>
      <c r="C31" s="3" t="s">
        <v>227</v>
      </c>
      <c r="D31" s="3">
        <v>250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5</v>
      </c>
      <c r="L31">
        <f>IFERROR(VALUE(LEFT(C31,FIND(" ",C31)-1)), "")</f>
        <v>16</v>
      </c>
    </row>
    <row r="32" spans="1:12" x14ac:dyDescent="0.3">
      <c r="A32" s="3" t="s">
        <v>258</v>
      </c>
      <c r="B32" s="3" t="s">
        <v>291</v>
      </c>
      <c r="C32" s="3" t="s">
        <v>273</v>
      </c>
      <c r="D32" s="3">
        <v>310</v>
      </c>
      <c r="E32" s="3">
        <v>0</v>
      </c>
      <c r="F32" s="3">
        <v>0.5</v>
      </c>
      <c r="G32" s="3">
        <v>1</v>
      </c>
      <c r="H32" s="3">
        <v>0</v>
      </c>
      <c r="I32" s="3">
        <v>0</v>
      </c>
      <c r="J32" s="3">
        <v>0</v>
      </c>
      <c r="K32" s="3">
        <v>10</v>
      </c>
      <c r="L32">
        <f>IFERROR(VALUE(LEFT(C32,FIND(" ",C32)-1)), "")</f>
        <v>20</v>
      </c>
    </row>
    <row r="33" spans="1:12" x14ac:dyDescent="0.3">
      <c r="A33" s="3" t="s">
        <v>258</v>
      </c>
      <c r="B33" s="3" t="s">
        <v>292</v>
      </c>
      <c r="C33" s="3" t="s">
        <v>233</v>
      </c>
      <c r="D33" s="3">
        <v>200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5</v>
      </c>
      <c r="L33">
        <f>IFERROR(VALUE(LEFT(C33,FIND(" ",C33)-1)), "")</f>
        <v>12</v>
      </c>
    </row>
    <row r="34" spans="1:12" x14ac:dyDescent="0.3">
      <c r="A34" s="3" t="s">
        <v>258</v>
      </c>
      <c r="B34" s="3" t="s">
        <v>293</v>
      </c>
      <c r="C34" s="3" t="s">
        <v>227</v>
      </c>
      <c r="D34" s="3">
        <v>250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5</v>
      </c>
      <c r="L34">
        <f>IFERROR(VALUE(LEFT(C34,FIND(" ",C34)-1)), "")</f>
        <v>16</v>
      </c>
    </row>
    <row r="35" spans="1:12" x14ac:dyDescent="0.3">
      <c r="A35" s="3" t="s">
        <v>258</v>
      </c>
      <c r="B35" s="3" t="s">
        <v>294</v>
      </c>
      <c r="C35" s="3" t="s">
        <v>273</v>
      </c>
      <c r="D35" s="3">
        <v>310</v>
      </c>
      <c r="E35" s="3">
        <v>0</v>
      </c>
      <c r="F35" s="3">
        <v>0.5</v>
      </c>
      <c r="G35" s="3">
        <v>1</v>
      </c>
      <c r="H35" s="3">
        <v>0</v>
      </c>
      <c r="I35" s="3">
        <v>0</v>
      </c>
      <c r="J35" s="3">
        <v>0</v>
      </c>
      <c r="K35" s="3">
        <v>10</v>
      </c>
      <c r="L35">
        <f>IFERROR(VALUE(LEFT(C35,FIND(" ",C35)-1)), "")</f>
        <v>20</v>
      </c>
    </row>
    <row r="36" spans="1:12" x14ac:dyDescent="0.3">
      <c r="A36" s="3" t="s">
        <v>258</v>
      </c>
      <c r="B36" s="3" t="s">
        <v>295</v>
      </c>
      <c r="C36" s="3" t="s">
        <v>233</v>
      </c>
      <c r="D36" s="3">
        <v>190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5</v>
      </c>
      <c r="L36">
        <f>IFERROR(VALUE(LEFT(C36,FIND(" ",C36)-1)), "")</f>
        <v>12</v>
      </c>
    </row>
    <row r="37" spans="1:12" x14ac:dyDescent="0.3">
      <c r="A37" s="3" t="s">
        <v>258</v>
      </c>
      <c r="B37" s="3" t="s">
        <v>296</v>
      </c>
      <c r="C37" s="3" t="s">
        <v>227</v>
      </c>
      <c r="D37" s="3">
        <v>240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5</v>
      </c>
      <c r="L37">
        <f>IFERROR(VALUE(LEFT(C37,FIND(" ",C37)-1)), "")</f>
        <v>16</v>
      </c>
    </row>
    <row r="38" spans="1:12" x14ac:dyDescent="0.3">
      <c r="A38" s="3" t="s">
        <v>258</v>
      </c>
      <c r="B38" s="3" t="s">
        <v>297</v>
      </c>
      <c r="C38" s="3" t="s">
        <v>273</v>
      </c>
      <c r="D38" s="3">
        <v>300</v>
      </c>
      <c r="E38" s="3">
        <v>0</v>
      </c>
      <c r="F38" s="3">
        <v>0.5</v>
      </c>
      <c r="G38" s="3">
        <v>1</v>
      </c>
      <c r="H38" s="3">
        <v>0</v>
      </c>
      <c r="I38" s="3">
        <v>0</v>
      </c>
      <c r="J38" s="3">
        <v>0</v>
      </c>
      <c r="K38" s="3">
        <v>10</v>
      </c>
      <c r="L38">
        <f>IFERROR(VALUE(LEFT(C38,FIND(" ",C38)-1)), "")</f>
        <v>20</v>
      </c>
    </row>
    <row r="39" spans="1:12" x14ac:dyDescent="0.3">
      <c r="A39" s="3" t="s">
        <v>258</v>
      </c>
      <c r="B39" s="3" t="s">
        <v>298</v>
      </c>
      <c r="C39" s="3" t="s">
        <v>233</v>
      </c>
      <c r="D39" s="3">
        <v>140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5</v>
      </c>
      <c r="L39">
        <f>IFERROR(VALUE(LEFT(C39,FIND(" ",C39)-1)), "")</f>
        <v>12</v>
      </c>
    </row>
    <row r="40" spans="1:12" x14ac:dyDescent="0.3">
      <c r="A40" s="3" t="s">
        <v>258</v>
      </c>
      <c r="B40" s="3" t="s">
        <v>299</v>
      </c>
      <c r="C40" s="3" t="s">
        <v>227</v>
      </c>
      <c r="D40" s="3">
        <v>170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5</v>
      </c>
      <c r="L40">
        <f>IFERROR(VALUE(LEFT(C40,FIND(" ",C40)-1)), "")</f>
        <v>16</v>
      </c>
    </row>
    <row r="41" spans="1:12" x14ac:dyDescent="0.3">
      <c r="A41" s="3" t="s">
        <v>258</v>
      </c>
      <c r="B41" s="3" t="s">
        <v>300</v>
      </c>
      <c r="C41" s="3" t="s">
        <v>273</v>
      </c>
      <c r="D41" s="3">
        <v>220</v>
      </c>
      <c r="E41" s="3">
        <v>0</v>
      </c>
      <c r="F41" s="3">
        <v>0.5</v>
      </c>
      <c r="G41" s="3">
        <v>1</v>
      </c>
      <c r="H41" s="3">
        <v>0</v>
      </c>
      <c r="I41" s="3">
        <v>0</v>
      </c>
      <c r="J41" s="3">
        <v>0</v>
      </c>
      <c r="K41" s="3">
        <v>10</v>
      </c>
      <c r="L41">
        <f>IFERROR(VALUE(LEFT(C41,FIND(" ",C41)-1)), "")</f>
        <v>20</v>
      </c>
    </row>
    <row r="42" spans="1:12" x14ac:dyDescent="0.3">
      <c r="A42" s="3" t="s">
        <v>258</v>
      </c>
      <c r="B42" s="3" t="s">
        <v>301</v>
      </c>
      <c r="C42" s="3" t="s">
        <v>233</v>
      </c>
      <c r="D42" s="3">
        <v>340</v>
      </c>
      <c r="E42" s="3">
        <v>100</v>
      </c>
      <c r="F42" s="3">
        <v>11</v>
      </c>
      <c r="G42" s="3">
        <v>18</v>
      </c>
      <c r="H42" s="3">
        <v>7</v>
      </c>
      <c r="I42" s="3">
        <v>34</v>
      </c>
      <c r="J42" s="3">
        <v>0</v>
      </c>
      <c r="K42" s="3">
        <v>35</v>
      </c>
      <c r="L42">
        <f>IFERROR(VALUE(LEFT(C42,FIND(" ",C42)-1)), "")</f>
        <v>12</v>
      </c>
    </row>
    <row r="43" spans="1:12" x14ac:dyDescent="0.3">
      <c r="A43" s="3" t="s">
        <v>258</v>
      </c>
      <c r="B43" s="3" t="s">
        <v>302</v>
      </c>
      <c r="C43" s="3" t="s">
        <v>227</v>
      </c>
      <c r="D43" s="3">
        <v>410</v>
      </c>
      <c r="E43" s="3">
        <v>120</v>
      </c>
      <c r="F43" s="3">
        <v>14</v>
      </c>
      <c r="G43" s="3">
        <v>21</v>
      </c>
      <c r="H43" s="3">
        <v>8</v>
      </c>
      <c r="I43" s="3">
        <v>40</v>
      </c>
      <c r="J43" s="3">
        <v>0</v>
      </c>
      <c r="K43" s="3">
        <v>40</v>
      </c>
      <c r="L43">
        <f>IFERROR(VALUE(LEFT(C43,FIND(" ",C43)-1)), "")</f>
        <v>16</v>
      </c>
    </row>
    <row r="44" spans="1:12" x14ac:dyDescent="0.3">
      <c r="A44" s="3" t="s">
        <v>258</v>
      </c>
      <c r="B44" s="3" t="s">
        <v>303</v>
      </c>
      <c r="C44" s="3" t="s">
        <v>273</v>
      </c>
      <c r="D44" s="3">
        <v>500</v>
      </c>
      <c r="E44" s="3">
        <v>150</v>
      </c>
      <c r="F44" s="3">
        <v>17</v>
      </c>
      <c r="G44" s="3">
        <v>26</v>
      </c>
      <c r="H44" s="3">
        <v>10</v>
      </c>
      <c r="I44" s="3">
        <v>49</v>
      </c>
      <c r="J44" s="3">
        <v>0.5</v>
      </c>
      <c r="K44" s="3">
        <v>50</v>
      </c>
      <c r="L44">
        <f>IFERROR(VALUE(LEFT(C44,FIND(" ",C44)-1)), "")</f>
        <v>20</v>
      </c>
    </row>
    <row r="45" spans="1:12" x14ac:dyDescent="0.3">
      <c r="A45" s="3" t="s">
        <v>258</v>
      </c>
      <c r="B45" s="3" t="s">
        <v>304</v>
      </c>
      <c r="C45" s="3" t="s">
        <v>233</v>
      </c>
      <c r="D45" s="3">
        <v>270</v>
      </c>
      <c r="E45" s="3">
        <v>30</v>
      </c>
      <c r="F45" s="3">
        <v>3.5</v>
      </c>
      <c r="G45" s="3">
        <v>5</v>
      </c>
      <c r="H45" s="3">
        <v>2</v>
      </c>
      <c r="I45" s="3">
        <v>11</v>
      </c>
      <c r="J45" s="3">
        <v>0</v>
      </c>
      <c r="K45" s="3">
        <v>15</v>
      </c>
      <c r="L45">
        <f>IFERROR(VALUE(LEFT(C45,FIND(" ",C45)-1)), "")</f>
        <v>12</v>
      </c>
    </row>
    <row r="46" spans="1:12" x14ac:dyDescent="0.3">
      <c r="A46" s="3" t="s">
        <v>258</v>
      </c>
      <c r="B46" s="3" t="s">
        <v>305</v>
      </c>
      <c r="C46" s="3" t="s">
        <v>227</v>
      </c>
      <c r="D46" s="3">
        <v>330</v>
      </c>
      <c r="E46" s="3">
        <v>30</v>
      </c>
      <c r="F46" s="3">
        <v>3.5</v>
      </c>
      <c r="G46" s="3">
        <v>6</v>
      </c>
      <c r="H46" s="3">
        <v>2</v>
      </c>
      <c r="I46" s="3">
        <v>11</v>
      </c>
      <c r="J46" s="3">
        <v>0</v>
      </c>
      <c r="K46" s="3">
        <v>15</v>
      </c>
      <c r="L46">
        <f>IFERROR(VALUE(LEFT(C46,FIND(" ",C46)-1)), "")</f>
        <v>16</v>
      </c>
    </row>
    <row r="47" spans="1:12" x14ac:dyDescent="0.3">
      <c r="A47" s="3" t="s">
        <v>258</v>
      </c>
      <c r="B47" s="3" t="s">
        <v>306</v>
      </c>
      <c r="C47" s="3" t="s">
        <v>273</v>
      </c>
      <c r="D47" s="3">
        <v>390</v>
      </c>
      <c r="E47" s="3">
        <v>35</v>
      </c>
      <c r="F47" s="3">
        <v>4</v>
      </c>
      <c r="G47" s="3">
        <v>6</v>
      </c>
      <c r="H47" s="3">
        <v>2.5</v>
      </c>
      <c r="I47" s="3">
        <v>12</v>
      </c>
      <c r="J47" s="3">
        <v>0</v>
      </c>
      <c r="K47" s="3">
        <v>20</v>
      </c>
      <c r="L47">
        <f>IFERROR(VALUE(LEFT(C47,FIND(" ",C47)-1)), "")</f>
        <v>20</v>
      </c>
    </row>
    <row r="48" spans="1:12" x14ac:dyDescent="0.3">
      <c r="A48" s="3" t="s">
        <v>258</v>
      </c>
      <c r="B48" s="3" t="s">
        <v>307</v>
      </c>
      <c r="C48" s="3" t="s">
        <v>233</v>
      </c>
      <c r="D48" s="3">
        <v>320</v>
      </c>
      <c r="E48" s="3">
        <v>100</v>
      </c>
      <c r="F48" s="3">
        <v>11</v>
      </c>
      <c r="G48" s="3">
        <v>17</v>
      </c>
      <c r="H48" s="3">
        <v>7</v>
      </c>
      <c r="I48" s="3">
        <v>33</v>
      </c>
      <c r="J48" s="3">
        <v>0</v>
      </c>
      <c r="K48" s="3">
        <v>35</v>
      </c>
      <c r="L48">
        <f>IFERROR(VALUE(LEFT(C48,FIND(" ",C48)-1)), "")</f>
        <v>12</v>
      </c>
    </row>
    <row r="49" spans="1:12" x14ac:dyDescent="0.3">
      <c r="A49" s="3" t="s">
        <v>258</v>
      </c>
      <c r="B49" s="3" t="s">
        <v>308</v>
      </c>
      <c r="C49" s="3" t="s">
        <v>227</v>
      </c>
      <c r="D49" s="3">
        <v>390</v>
      </c>
      <c r="E49" s="3">
        <v>120</v>
      </c>
      <c r="F49" s="3">
        <v>14</v>
      </c>
      <c r="G49" s="3">
        <v>21</v>
      </c>
      <c r="H49" s="3">
        <v>8</v>
      </c>
      <c r="I49" s="3">
        <v>40</v>
      </c>
      <c r="J49" s="3">
        <v>0.5</v>
      </c>
      <c r="K49" s="3">
        <v>40</v>
      </c>
      <c r="L49">
        <f>IFERROR(VALUE(LEFT(C49,FIND(" ",C49)-1)), "")</f>
        <v>16</v>
      </c>
    </row>
    <row r="50" spans="1:12" x14ac:dyDescent="0.3">
      <c r="A50" s="3" t="s">
        <v>258</v>
      </c>
      <c r="B50" s="3" t="s">
        <v>309</v>
      </c>
      <c r="C50" s="3" t="s">
        <v>273</v>
      </c>
      <c r="D50" s="3">
        <v>480</v>
      </c>
      <c r="E50" s="3">
        <v>150</v>
      </c>
      <c r="F50" s="3">
        <v>17</v>
      </c>
      <c r="G50" s="3">
        <v>26</v>
      </c>
      <c r="H50" s="3">
        <v>10</v>
      </c>
      <c r="I50" s="3">
        <v>49</v>
      </c>
      <c r="J50" s="3">
        <v>0.5</v>
      </c>
      <c r="K50" s="3">
        <v>50</v>
      </c>
      <c r="L50">
        <f>IFERROR(VALUE(LEFT(C50,FIND(" ",C50)-1)), "")</f>
        <v>20</v>
      </c>
    </row>
    <row r="51" spans="1:12" x14ac:dyDescent="0.3">
      <c r="A51" s="3" t="s">
        <v>258</v>
      </c>
      <c r="B51" s="3" t="s">
        <v>310</v>
      </c>
      <c r="C51" s="3" t="s">
        <v>233</v>
      </c>
      <c r="D51" s="3">
        <v>250</v>
      </c>
      <c r="E51" s="3">
        <v>30</v>
      </c>
      <c r="F51" s="3">
        <v>3.5</v>
      </c>
      <c r="G51" s="3">
        <v>5</v>
      </c>
      <c r="H51" s="3">
        <v>2</v>
      </c>
      <c r="I51" s="3">
        <v>10</v>
      </c>
      <c r="J51" s="3">
        <v>0</v>
      </c>
      <c r="K51" s="3">
        <v>15</v>
      </c>
      <c r="L51">
        <f>IFERROR(VALUE(LEFT(C51,FIND(" ",C51)-1)), "")</f>
        <v>12</v>
      </c>
    </row>
    <row r="52" spans="1:12" x14ac:dyDescent="0.3">
      <c r="A52" s="3" t="s">
        <v>258</v>
      </c>
      <c r="B52" s="3" t="s">
        <v>311</v>
      </c>
      <c r="C52" s="3" t="s">
        <v>227</v>
      </c>
      <c r="D52" s="3">
        <v>310</v>
      </c>
      <c r="E52" s="3">
        <v>30</v>
      </c>
      <c r="F52" s="3">
        <v>3.5</v>
      </c>
      <c r="G52" s="3">
        <v>5</v>
      </c>
      <c r="H52" s="3">
        <v>2</v>
      </c>
      <c r="I52" s="3">
        <v>11</v>
      </c>
      <c r="J52" s="3">
        <v>0</v>
      </c>
      <c r="K52" s="3">
        <v>15</v>
      </c>
      <c r="L52">
        <f>IFERROR(VALUE(LEFT(C52,FIND(" ",C52)-1)), "")</f>
        <v>16</v>
      </c>
    </row>
    <row r="53" spans="1:12" x14ac:dyDescent="0.3">
      <c r="A53" s="3" t="s">
        <v>258</v>
      </c>
      <c r="B53" s="3" t="s">
        <v>312</v>
      </c>
      <c r="C53" s="3" t="s">
        <v>273</v>
      </c>
      <c r="D53" s="3">
        <v>370</v>
      </c>
      <c r="E53" s="3">
        <v>35</v>
      </c>
      <c r="F53" s="3">
        <v>3.5</v>
      </c>
      <c r="G53" s="3">
        <v>6</v>
      </c>
      <c r="H53" s="3">
        <v>2.5</v>
      </c>
      <c r="I53" s="3">
        <v>11</v>
      </c>
      <c r="J53" s="3">
        <v>0</v>
      </c>
      <c r="K53" s="3">
        <v>20</v>
      </c>
      <c r="L53">
        <f>IFERROR(VALUE(LEFT(C53,FIND(" ",C53)-1)), "")</f>
        <v>20</v>
      </c>
    </row>
    <row r="54" spans="1:12" x14ac:dyDescent="0.3">
      <c r="A54" s="3" t="s">
        <v>258</v>
      </c>
      <c r="B54" s="3" t="s">
        <v>313</v>
      </c>
      <c r="C54" s="3" t="s">
        <v>233</v>
      </c>
      <c r="D54" s="3">
        <v>360</v>
      </c>
      <c r="E54" s="3">
        <v>120</v>
      </c>
      <c r="F54" s="3">
        <v>13</v>
      </c>
      <c r="G54" s="3">
        <v>21</v>
      </c>
      <c r="H54" s="3">
        <v>8</v>
      </c>
      <c r="I54" s="3">
        <v>39</v>
      </c>
      <c r="J54" s="3">
        <v>0</v>
      </c>
      <c r="K54" s="3">
        <v>40</v>
      </c>
      <c r="L54">
        <f>IFERROR(VALUE(LEFT(C54,FIND(" ",C54)-1)), "")</f>
        <v>12</v>
      </c>
    </row>
    <row r="55" spans="1:12" x14ac:dyDescent="0.3">
      <c r="A55" s="3" t="s">
        <v>258</v>
      </c>
      <c r="B55" s="3" t="s">
        <v>314</v>
      </c>
      <c r="C55" s="3" t="s">
        <v>227</v>
      </c>
      <c r="D55" s="3">
        <v>440</v>
      </c>
      <c r="E55" s="3">
        <v>140</v>
      </c>
      <c r="F55" s="3">
        <v>16</v>
      </c>
      <c r="G55" s="3">
        <v>25</v>
      </c>
      <c r="H55" s="3">
        <v>9</v>
      </c>
      <c r="I55" s="3">
        <v>47</v>
      </c>
      <c r="J55" s="3">
        <v>0.5</v>
      </c>
      <c r="K55" s="3">
        <v>50</v>
      </c>
      <c r="L55">
        <f>IFERROR(VALUE(LEFT(C55,FIND(" ",C55)-1)), "")</f>
        <v>16</v>
      </c>
    </row>
    <row r="56" spans="1:12" x14ac:dyDescent="0.3">
      <c r="A56" s="3" t="s">
        <v>258</v>
      </c>
      <c r="B56" s="3" t="s">
        <v>315</v>
      </c>
      <c r="C56" s="3" t="s">
        <v>273</v>
      </c>
      <c r="D56" s="3">
        <v>540</v>
      </c>
      <c r="E56" s="3">
        <v>180</v>
      </c>
      <c r="F56" s="3">
        <v>20</v>
      </c>
      <c r="G56" s="3">
        <v>31</v>
      </c>
      <c r="H56" s="3">
        <v>12</v>
      </c>
      <c r="I56" s="3">
        <v>58</v>
      </c>
      <c r="J56" s="3">
        <v>0.5</v>
      </c>
      <c r="K56" s="3">
        <v>60</v>
      </c>
      <c r="L56">
        <f>IFERROR(VALUE(LEFT(C56,FIND(" ",C56)-1)), "")</f>
        <v>20</v>
      </c>
    </row>
    <row r="57" spans="1:12" x14ac:dyDescent="0.3">
      <c r="A57" s="3" t="s">
        <v>258</v>
      </c>
      <c r="B57" s="3" t="s">
        <v>316</v>
      </c>
      <c r="C57" s="3" t="s">
        <v>233</v>
      </c>
      <c r="D57" s="3">
        <v>280</v>
      </c>
      <c r="E57" s="3">
        <v>30</v>
      </c>
      <c r="F57" s="3">
        <v>3.5</v>
      </c>
      <c r="G57" s="3">
        <v>5</v>
      </c>
      <c r="H57" s="3">
        <v>2</v>
      </c>
      <c r="I57" s="3">
        <v>11</v>
      </c>
      <c r="J57" s="3">
        <v>0</v>
      </c>
      <c r="K57" s="3">
        <v>15</v>
      </c>
      <c r="L57">
        <f>IFERROR(VALUE(LEFT(C57,FIND(" ",C57)-1)), "")</f>
        <v>12</v>
      </c>
    </row>
    <row r="58" spans="1:12" x14ac:dyDescent="0.3">
      <c r="A58" s="3" t="s">
        <v>258</v>
      </c>
      <c r="B58" s="3" t="s">
        <v>317</v>
      </c>
      <c r="C58" s="3" t="s">
        <v>227</v>
      </c>
      <c r="D58" s="3">
        <v>340</v>
      </c>
      <c r="E58" s="3">
        <v>30</v>
      </c>
      <c r="F58" s="3">
        <v>3.5</v>
      </c>
      <c r="G58" s="3">
        <v>5</v>
      </c>
      <c r="H58" s="3">
        <v>2</v>
      </c>
      <c r="I58" s="3">
        <v>11</v>
      </c>
      <c r="J58" s="3">
        <v>0</v>
      </c>
      <c r="K58" s="3">
        <v>15</v>
      </c>
      <c r="L58">
        <f>IFERROR(VALUE(LEFT(C58,FIND(" ",C58)-1)), "")</f>
        <v>16</v>
      </c>
    </row>
    <row r="59" spans="1:12" x14ac:dyDescent="0.3">
      <c r="A59" s="3" t="s">
        <v>258</v>
      </c>
      <c r="B59" s="3" t="s">
        <v>318</v>
      </c>
      <c r="C59" s="3" t="s">
        <v>273</v>
      </c>
      <c r="D59" s="3">
        <v>400</v>
      </c>
      <c r="E59" s="3">
        <v>35</v>
      </c>
      <c r="F59" s="3">
        <v>3.5</v>
      </c>
      <c r="G59" s="3">
        <v>6</v>
      </c>
      <c r="H59" s="3">
        <v>2.5</v>
      </c>
      <c r="I59" s="3">
        <v>12</v>
      </c>
      <c r="J59" s="3">
        <v>0</v>
      </c>
      <c r="K59" s="3">
        <v>20</v>
      </c>
      <c r="L59">
        <f>IFERROR(VALUE(LEFT(C59,FIND(" ",C59)-1)), "")</f>
        <v>20</v>
      </c>
    </row>
    <row r="60" spans="1:12" x14ac:dyDescent="0.3">
      <c r="A60" s="3" t="s">
        <v>258</v>
      </c>
      <c r="B60" s="3" t="s">
        <v>319</v>
      </c>
      <c r="C60" s="3" t="s">
        <v>227</v>
      </c>
      <c r="D60" s="3">
        <v>140</v>
      </c>
      <c r="E60" s="3">
        <v>40</v>
      </c>
      <c r="F60" s="3">
        <v>4.5</v>
      </c>
      <c r="G60" s="3">
        <v>7</v>
      </c>
      <c r="H60" s="3">
        <v>3</v>
      </c>
      <c r="I60" s="3">
        <v>15</v>
      </c>
      <c r="J60" s="3">
        <v>0</v>
      </c>
      <c r="K60" s="3">
        <v>15</v>
      </c>
      <c r="L60">
        <f>IFERROR(VALUE(LEFT(C60,FIND(" ",C60)-1)), "")</f>
        <v>16</v>
      </c>
    </row>
    <row r="61" spans="1:12" x14ac:dyDescent="0.3">
      <c r="A61" s="3" t="s">
        <v>258</v>
      </c>
      <c r="B61" s="3" t="s">
        <v>320</v>
      </c>
      <c r="C61" s="3" t="s">
        <v>256</v>
      </c>
      <c r="D61" s="3">
        <v>190</v>
      </c>
      <c r="E61" s="3">
        <v>60</v>
      </c>
      <c r="F61" s="3">
        <v>7</v>
      </c>
      <c r="G61" s="3">
        <v>11</v>
      </c>
      <c r="H61" s="3">
        <v>4.5</v>
      </c>
      <c r="I61" s="3">
        <v>22</v>
      </c>
      <c r="J61" s="3">
        <v>0</v>
      </c>
      <c r="K61" s="3">
        <v>25</v>
      </c>
      <c r="L61">
        <f>IFERROR(VALUE(LEFT(C61,FIND(" ",C61)-1)), "")</f>
        <v>22</v>
      </c>
    </row>
    <row r="62" spans="1:12" x14ac:dyDescent="0.3">
      <c r="A62" s="3" t="s">
        <v>258</v>
      </c>
      <c r="B62" s="3" t="s">
        <v>321</v>
      </c>
      <c r="C62" s="3" t="s">
        <v>322</v>
      </c>
      <c r="D62" s="3">
        <v>270</v>
      </c>
      <c r="E62" s="3">
        <v>80</v>
      </c>
      <c r="F62" s="3">
        <v>9</v>
      </c>
      <c r="G62" s="3">
        <v>14</v>
      </c>
      <c r="H62" s="3">
        <v>6</v>
      </c>
      <c r="I62" s="3">
        <v>29</v>
      </c>
      <c r="J62" s="3">
        <v>0</v>
      </c>
      <c r="K62" s="3">
        <v>35</v>
      </c>
      <c r="L62">
        <f>IFERROR(VALUE(LEFT(C62,FIND(" ",C62)-1)), "")</f>
        <v>32</v>
      </c>
    </row>
    <row r="63" spans="1:12" x14ac:dyDescent="0.3">
      <c r="A63" s="3" t="s">
        <v>258</v>
      </c>
      <c r="B63" s="3" t="s">
        <v>323</v>
      </c>
      <c r="C63" s="3" t="s">
        <v>227</v>
      </c>
      <c r="D63" s="3">
        <v>130</v>
      </c>
      <c r="E63" s="3">
        <v>40</v>
      </c>
      <c r="F63" s="3">
        <v>4.5</v>
      </c>
      <c r="G63" s="3">
        <v>7</v>
      </c>
      <c r="H63" s="3">
        <v>3</v>
      </c>
      <c r="I63" s="3">
        <v>15</v>
      </c>
      <c r="J63" s="3">
        <v>0</v>
      </c>
      <c r="K63" s="3">
        <v>15</v>
      </c>
      <c r="L63">
        <f>IFERROR(VALUE(LEFT(C63,FIND(" ",C63)-1)), "")</f>
        <v>16</v>
      </c>
    </row>
    <row r="64" spans="1:12" x14ac:dyDescent="0.3">
      <c r="A64" s="3" t="s">
        <v>258</v>
      </c>
      <c r="B64" s="3" t="s">
        <v>324</v>
      </c>
      <c r="C64" s="3" t="s">
        <v>256</v>
      </c>
      <c r="D64" s="3">
        <v>180</v>
      </c>
      <c r="E64" s="3">
        <v>60</v>
      </c>
      <c r="F64" s="3">
        <v>7</v>
      </c>
      <c r="G64" s="3">
        <v>11</v>
      </c>
      <c r="H64" s="3">
        <v>4.5</v>
      </c>
      <c r="I64" s="3">
        <v>22</v>
      </c>
      <c r="J64" s="3">
        <v>0</v>
      </c>
      <c r="K64" s="3">
        <v>25</v>
      </c>
      <c r="L64">
        <f>IFERROR(VALUE(LEFT(C64,FIND(" ",C64)-1)), "")</f>
        <v>22</v>
      </c>
    </row>
    <row r="65" spans="1:12" x14ac:dyDescent="0.3">
      <c r="A65" s="3" t="s">
        <v>258</v>
      </c>
      <c r="B65" s="3" t="s">
        <v>325</v>
      </c>
      <c r="C65" s="3" t="s">
        <v>322</v>
      </c>
      <c r="D65" s="3">
        <v>260</v>
      </c>
      <c r="E65" s="3">
        <v>80</v>
      </c>
      <c r="F65" s="3">
        <v>9</v>
      </c>
      <c r="G65" s="3">
        <v>14</v>
      </c>
      <c r="H65" s="3">
        <v>6</v>
      </c>
      <c r="I65" s="3">
        <v>29</v>
      </c>
      <c r="J65" s="3">
        <v>0</v>
      </c>
      <c r="K65" s="3">
        <v>35</v>
      </c>
      <c r="L65">
        <f>IFERROR(VALUE(LEFT(C65,FIND(" ",C65)-1)), "")</f>
        <v>32</v>
      </c>
    </row>
    <row r="66" spans="1:12" x14ac:dyDescent="0.3">
      <c r="A66" s="3" t="s">
        <v>258</v>
      </c>
      <c r="B66" s="3" t="s">
        <v>326</v>
      </c>
      <c r="C66" s="3" t="s">
        <v>227</v>
      </c>
      <c r="D66" s="3">
        <v>130</v>
      </c>
      <c r="E66" s="3">
        <v>40</v>
      </c>
      <c r="F66" s="3">
        <v>4.5</v>
      </c>
      <c r="G66" s="3">
        <v>7</v>
      </c>
      <c r="H66" s="3">
        <v>3</v>
      </c>
      <c r="I66" s="3">
        <v>15</v>
      </c>
      <c r="J66" s="3">
        <v>0</v>
      </c>
      <c r="K66" s="3">
        <v>15</v>
      </c>
      <c r="L66">
        <f>IFERROR(VALUE(LEFT(C66,FIND(" ",C66)-1)), "")</f>
        <v>16</v>
      </c>
    </row>
    <row r="67" spans="1:12" x14ac:dyDescent="0.3">
      <c r="A67" s="3" t="s">
        <v>258</v>
      </c>
      <c r="B67" s="3" t="s">
        <v>327</v>
      </c>
      <c r="C67" s="3" t="s">
        <v>256</v>
      </c>
      <c r="D67" s="3">
        <v>180</v>
      </c>
      <c r="E67" s="3">
        <v>60</v>
      </c>
      <c r="F67" s="3">
        <v>7</v>
      </c>
      <c r="G67" s="3">
        <v>11</v>
      </c>
      <c r="H67" s="3">
        <v>4.5</v>
      </c>
      <c r="I67" s="3">
        <v>22</v>
      </c>
      <c r="J67" s="3">
        <v>0</v>
      </c>
      <c r="K67" s="3">
        <v>25</v>
      </c>
      <c r="L67">
        <f>IFERROR(VALUE(LEFT(C67,FIND(" ",C67)-1)), "")</f>
        <v>22</v>
      </c>
    </row>
    <row r="68" spans="1:12" x14ac:dyDescent="0.3">
      <c r="A68" s="3" t="s">
        <v>258</v>
      </c>
      <c r="B68" s="3" t="s">
        <v>328</v>
      </c>
      <c r="C68" s="3" t="s">
        <v>322</v>
      </c>
      <c r="D68" s="3">
        <v>250</v>
      </c>
      <c r="E68" s="3">
        <v>80</v>
      </c>
      <c r="F68" s="3">
        <v>9</v>
      </c>
      <c r="G68" s="3">
        <v>14</v>
      </c>
      <c r="H68" s="3">
        <v>6</v>
      </c>
      <c r="I68" s="3">
        <v>29</v>
      </c>
      <c r="J68" s="3">
        <v>0</v>
      </c>
      <c r="K68" s="3">
        <v>35</v>
      </c>
      <c r="L68">
        <f>IFERROR(VALUE(LEFT(C68,FIND(" ",C68)-1)), "")</f>
        <v>32</v>
      </c>
    </row>
    <row r="69" spans="1:12" x14ac:dyDescent="0.3">
      <c r="A69" s="3" t="s">
        <v>258</v>
      </c>
      <c r="B69" s="3" t="s">
        <v>329</v>
      </c>
      <c r="C69" s="3" t="s">
        <v>227</v>
      </c>
      <c r="D69" s="3">
        <v>120</v>
      </c>
      <c r="E69" s="3">
        <v>40</v>
      </c>
      <c r="F69" s="3">
        <v>4.5</v>
      </c>
      <c r="G69" s="3">
        <v>7</v>
      </c>
      <c r="H69" s="3">
        <v>3</v>
      </c>
      <c r="I69" s="3">
        <v>15</v>
      </c>
      <c r="J69" s="3">
        <v>0</v>
      </c>
      <c r="K69" s="3">
        <v>15</v>
      </c>
      <c r="L69">
        <f>IFERROR(VALUE(LEFT(C69,FIND(" ",C69)-1)), "")</f>
        <v>16</v>
      </c>
    </row>
    <row r="70" spans="1:12" x14ac:dyDescent="0.3">
      <c r="A70" s="3" t="s">
        <v>258</v>
      </c>
      <c r="B70" s="3" t="s">
        <v>330</v>
      </c>
      <c r="C70" s="3" t="s">
        <v>256</v>
      </c>
      <c r="D70" s="3">
        <v>170</v>
      </c>
      <c r="E70" s="3">
        <v>60</v>
      </c>
      <c r="F70" s="3">
        <v>7</v>
      </c>
      <c r="G70" s="3">
        <v>11</v>
      </c>
      <c r="H70" s="3">
        <v>4.5</v>
      </c>
      <c r="I70" s="3">
        <v>22</v>
      </c>
      <c r="J70" s="3">
        <v>0</v>
      </c>
      <c r="K70" s="3">
        <v>25</v>
      </c>
      <c r="L70">
        <f>IFERROR(VALUE(LEFT(C70,FIND(" ",C70)-1)), "")</f>
        <v>22</v>
      </c>
    </row>
    <row r="71" spans="1:12" x14ac:dyDescent="0.3">
      <c r="A71" s="3" t="s">
        <v>258</v>
      </c>
      <c r="B71" s="3" t="s">
        <v>331</v>
      </c>
      <c r="C71" s="3" t="s">
        <v>322</v>
      </c>
      <c r="D71" s="3">
        <v>240</v>
      </c>
      <c r="E71" s="3">
        <v>80</v>
      </c>
      <c r="F71" s="3">
        <v>9</v>
      </c>
      <c r="G71" s="3">
        <v>14</v>
      </c>
      <c r="H71" s="3">
        <v>6</v>
      </c>
      <c r="I71" s="3">
        <v>29</v>
      </c>
      <c r="J71" s="3">
        <v>0</v>
      </c>
      <c r="K71" s="3">
        <v>35</v>
      </c>
      <c r="L71">
        <f>IFERROR(VALUE(LEFT(C71,FIND(" ",C71)-1)), "")</f>
        <v>32</v>
      </c>
    </row>
    <row r="72" spans="1:12" x14ac:dyDescent="0.3">
      <c r="A72" s="3" t="s">
        <v>258</v>
      </c>
      <c r="B72" s="3" t="s">
        <v>332</v>
      </c>
      <c r="C72" s="3" t="s">
        <v>227</v>
      </c>
      <c r="D72" s="3">
        <v>80</v>
      </c>
      <c r="E72" s="3">
        <v>40</v>
      </c>
      <c r="F72" s="3">
        <v>4.5</v>
      </c>
      <c r="G72" s="3">
        <v>7</v>
      </c>
      <c r="H72" s="3">
        <v>3</v>
      </c>
      <c r="I72" s="3">
        <v>15</v>
      </c>
      <c r="J72" s="3">
        <v>0</v>
      </c>
      <c r="K72" s="3">
        <v>15</v>
      </c>
      <c r="L72">
        <f>IFERROR(VALUE(LEFT(C72,FIND(" ",C72)-1)), "")</f>
        <v>16</v>
      </c>
    </row>
    <row r="73" spans="1:12" x14ac:dyDescent="0.3">
      <c r="A73" s="3" t="s">
        <v>258</v>
      </c>
      <c r="B73" s="3" t="s">
        <v>333</v>
      </c>
      <c r="C73" s="3" t="s">
        <v>256</v>
      </c>
      <c r="D73" s="3">
        <v>120</v>
      </c>
      <c r="E73" s="3">
        <v>60</v>
      </c>
      <c r="F73" s="3">
        <v>7</v>
      </c>
      <c r="G73" s="3">
        <v>11</v>
      </c>
      <c r="H73" s="3">
        <v>4.5</v>
      </c>
      <c r="I73" s="3">
        <v>22</v>
      </c>
      <c r="J73" s="3">
        <v>0</v>
      </c>
      <c r="K73" s="3">
        <v>25</v>
      </c>
      <c r="L73">
        <f>IFERROR(VALUE(LEFT(C73,FIND(" ",C73)-1)), "")</f>
        <v>22</v>
      </c>
    </row>
    <row r="74" spans="1:12" x14ac:dyDescent="0.3">
      <c r="A74" s="3" t="s">
        <v>258</v>
      </c>
      <c r="B74" s="3" t="s">
        <v>334</v>
      </c>
      <c r="C74" s="3" t="s">
        <v>322</v>
      </c>
      <c r="D74" s="3">
        <v>160</v>
      </c>
      <c r="E74" s="3">
        <v>80</v>
      </c>
      <c r="F74" s="3">
        <v>9</v>
      </c>
      <c r="G74" s="3">
        <v>14</v>
      </c>
      <c r="H74" s="3">
        <v>6</v>
      </c>
      <c r="I74" s="3">
        <v>29</v>
      </c>
      <c r="J74" s="3">
        <v>0</v>
      </c>
      <c r="K74" s="3">
        <v>35</v>
      </c>
      <c r="L74">
        <f>IFERROR(VALUE(LEFT(C74,FIND(" ",C74)-1)), "")</f>
        <v>32</v>
      </c>
    </row>
    <row r="75" spans="1:12" x14ac:dyDescent="0.3">
      <c r="A75" s="3" t="s">
        <v>258</v>
      </c>
      <c r="B75" s="3" t="s">
        <v>335</v>
      </c>
      <c r="C75" s="3" t="s">
        <v>233</v>
      </c>
      <c r="D75" s="3">
        <v>290</v>
      </c>
      <c r="E75" s="3">
        <v>100</v>
      </c>
      <c r="F75" s="3">
        <v>11</v>
      </c>
      <c r="G75" s="3">
        <v>17</v>
      </c>
      <c r="H75" s="3">
        <v>7</v>
      </c>
      <c r="I75" s="3">
        <v>33</v>
      </c>
      <c r="J75" s="3">
        <v>0</v>
      </c>
      <c r="K75" s="3">
        <v>35</v>
      </c>
      <c r="L75">
        <f>IFERROR(VALUE(LEFT(C75,FIND(" ",C75)-1)), "")</f>
        <v>12</v>
      </c>
    </row>
    <row r="76" spans="1:12" x14ac:dyDescent="0.3">
      <c r="A76" s="3" t="s">
        <v>258</v>
      </c>
      <c r="B76" s="3" t="s">
        <v>336</v>
      </c>
      <c r="C76" s="3" t="s">
        <v>227</v>
      </c>
      <c r="D76" s="3">
        <v>350</v>
      </c>
      <c r="E76" s="3">
        <v>110</v>
      </c>
      <c r="F76" s="3">
        <v>13</v>
      </c>
      <c r="G76" s="3">
        <v>19</v>
      </c>
      <c r="H76" s="3">
        <v>8</v>
      </c>
      <c r="I76" s="3">
        <v>38</v>
      </c>
      <c r="J76" s="3">
        <v>0</v>
      </c>
      <c r="K76" s="3">
        <v>40</v>
      </c>
      <c r="L76">
        <f>IFERROR(VALUE(LEFT(C76,FIND(" ",C76)-1)), "")</f>
        <v>16</v>
      </c>
    </row>
    <row r="77" spans="1:12" x14ac:dyDescent="0.3">
      <c r="A77" s="3" t="s">
        <v>258</v>
      </c>
      <c r="B77" s="3" t="s">
        <v>337</v>
      </c>
      <c r="C77" s="3" t="s">
        <v>256</v>
      </c>
      <c r="D77" s="3">
        <v>480</v>
      </c>
      <c r="E77" s="3">
        <v>150</v>
      </c>
      <c r="F77" s="3">
        <v>16</v>
      </c>
      <c r="G77" s="3">
        <v>25</v>
      </c>
      <c r="H77" s="3">
        <v>10</v>
      </c>
      <c r="I77" s="3">
        <v>49</v>
      </c>
      <c r="J77" s="3">
        <v>0.5</v>
      </c>
      <c r="K77" s="3">
        <v>50</v>
      </c>
      <c r="L77">
        <f>IFERROR(VALUE(LEFT(C77,FIND(" ",C77)-1)), "")</f>
        <v>22</v>
      </c>
    </row>
    <row r="78" spans="1:12" x14ac:dyDescent="0.3">
      <c r="A78" s="3" t="s">
        <v>258</v>
      </c>
      <c r="B78" s="3" t="s">
        <v>338</v>
      </c>
      <c r="C78" s="3" t="s">
        <v>233</v>
      </c>
      <c r="D78" s="3">
        <v>240</v>
      </c>
      <c r="E78" s="3">
        <v>45</v>
      </c>
      <c r="F78" s="3">
        <v>5</v>
      </c>
      <c r="G78" s="3">
        <v>8</v>
      </c>
      <c r="H78" s="3">
        <v>3</v>
      </c>
      <c r="I78" s="3">
        <v>16</v>
      </c>
      <c r="J78" s="3">
        <v>0</v>
      </c>
      <c r="K78" s="3">
        <v>20</v>
      </c>
      <c r="L78">
        <f>IFERROR(VALUE(LEFT(C78,FIND(" ",C78)-1)), "")</f>
        <v>12</v>
      </c>
    </row>
    <row r="79" spans="1:12" x14ac:dyDescent="0.3">
      <c r="A79" s="3" t="s">
        <v>258</v>
      </c>
      <c r="B79" s="3" t="s">
        <v>339</v>
      </c>
      <c r="C79" s="3" t="s">
        <v>227</v>
      </c>
      <c r="D79" s="3">
        <v>290</v>
      </c>
      <c r="E79" s="3">
        <v>45</v>
      </c>
      <c r="F79" s="3">
        <v>5</v>
      </c>
      <c r="G79" s="3">
        <v>8</v>
      </c>
      <c r="H79" s="3">
        <v>3.5</v>
      </c>
      <c r="I79" s="3">
        <v>17</v>
      </c>
      <c r="J79" s="3">
        <v>0</v>
      </c>
      <c r="K79" s="3">
        <v>20</v>
      </c>
      <c r="L79">
        <f>IFERROR(VALUE(LEFT(C79,FIND(" ",C79)-1)), "")</f>
        <v>16</v>
      </c>
    </row>
    <row r="80" spans="1:12" x14ac:dyDescent="0.3">
      <c r="A80" s="3" t="s">
        <v>258</v>
      </c>
      <c r="B80" s="3" t="s">
        <v>340</v>
      </c>
      <c r="C80" s="3" t="s">
        <v>256</v>
      </c>
      <c r="D80" s="3">
        <v>390</v>
      </c>
      <c r="E80" s="3">
        <v>50</v>
      </c>
      <c r="F80" s="3">
        <v>6</v>
      </c>
      <c r="G80" s="3">
        <v>9</v>
      </c>
      <c r="H80" s="3">
        <v>3.5</v>
      </c>
      <c r="I80" s="3">
        <v>18</v>
      </c>
      <c r="J80" s="3">
        <v>0</v>
      </c>
      <c r="K80" s="3">
        <v>25</v>
      </c>
      <c r="L80">
        <f>IFERROR(VALUE(LEFT(C80,FIND(" ",C80)-1)), "")</f>
        <v>22</v>
      </c>
    </row>
    <row r="81" spans="1:12" x14ac:dyDescent="0.3">
      <c r="A81" s="3" t="s">
        <v>258</v>
      </c>
      <c r="B81" s="3" t="s">
        <v>341</v>
      </c>
      <c r="C81" s="3" t="s">
        <v>233</v>
      </c>
      <c r="D81" s="3">
        <v>280</v>
      </c>
      <c r="E81" s="3">
        <v>100</v>
      </c>
      <c r="F81" s="3">
        <v>11</v>
      </c>
      <c r="G81" s="3">
        <v>17</v>
      </c>
      <c r="H81" s="3">
        <v>7</v>
      </c>
      <c r="I81" s="3">
        <v>33</v>
      </c>
      <c r="J81" s="3">
        <v>0</v>
      </c>
      <c r="K81" s="3">
        <v>35</v>
      </c>
      <c r="L81">
        <f>IFERROR(VALUE(LEFT(C81,FIND(" ",C81)-1)), "")</f>
        <v>12</v>
      </c>
    </row>
    <row r="82" spans="1:12" x14ac:dyDescent="0.3">
      <c r="A82" s="3" t="s">
        <v>258</v>
      </c>
      <c r="B82" s="3" t="s">
        <v>342</v>
      </c>
      <c r="C82" s="3" t="s">
        <v>227</v>
      </c>
      <c r="D82" s="3">
        <v>340</v>
      </c>
      <c r="E82" s="3">
        <v>110</v>
      </c>
      <c r="F82" s="3">
        <v>13</v>
      </c>
      <c r="G82" s="3">
        <v>19</v>
      </c>
      <c r="H82" s="3">
        <v>7</v>
      </c>
      <c r="I82" s="3">
        <v>37</v>
      </c>
      <c r="J82" s="3">
        <v>0</v>
      </c>
      <c r="K82" s="3">
        <v>40</v>
      </c>
      <c r="L82">
        <f>IFERROR(VALUE(LEFT(C82,FIND(" ",C82)-1)), "")</f>
        <v>16</v>
      </c>
    </row>
    <row r="83" spans="1:12" x14ac:dyDescent="0.3">
      <c r="A83" s="3" t="s">
        <v>258</v>
      </c>
      <c r="B83" s="3" t="s">
        <v>343</v>
      </c>
      <c r="C83" s="3" t="s">
        <v>256</v>
      </c>
      <c r="D83" s="3">
        <v>460</v>
      </c>
      <c r="E83" s="3">
        <v>150</v>
      </c>
      <c r="F83" s="3">
        <v>16</v>
      </c>
      <c r="G83" s="3">
        <v>25</v>
      </c>
      <c r="H83" s="3">
        <v>10</v>
      </c>
      <c r="I83" s="3">
        <v>48</v>
      </c>
      <c r="J83" s="3">
        <v>0.5</v>
      </c>
      <c r="K83" s="3">
        <v>50</v>
      </c>
      <c r="L83">
        <f>IFERROR(VALUE(LEFT(C83,FIND(" ",C83)-1)), "")</f>
        <v>22</v>
      </c>
    </row>
    <row r="84" spans="1:12" x14ac:dyDescent="0.3">
      <c r="A84" s="3" t="s">
        <v>258</v>
      </c>
      <c r="B84" s="3" t="s">
        <v>344</v>
      </c>
      <c r="C84" s="3" t="s">
        <v>233</v>
      </c>
      <c r="D84" s="3">
        <v>230</v>
      </c>
      <c r="E84" s="3">
        <v>45</v>
      </c>
      <c r="F84" s="3">
        <v>5</v>
      </c>
      <c r="G84" s="3">
        <v>8</v>
      </c>
      <c r="H84" s="3">
        <v>3</v>
      </c>
      <c r="I84" s="3">
        <v>16</v>
      </c>
      <c r="J84" s="3">
        <v>0</v>
      </c>
      <c r="K84" s="3">
        <v>20</v>
      </c>
      <c r="L84">
        <f>IFERROR(VALUE(LEFT(C84,FIND(" ",C84)-1)), "")</f>
        <v>12</v>
      </c>
    </row>
    <row r="85" spans="1:12" x14ac:dyDescent="0.3">
      <c r="A85" s="3" t="s">
        <v>258</v>
      </c>
      <c r="B85" s="3" t="s">
        <v>345</v>
      </c>
      <c r="C85" s="3" t="s">
        <v>227</v>
      </c>
      <c r="D85" s="3">
        <v>270</v>
      </c>
      <c r="E85" s="3">
        <v>45</v>
      </c>
      <c r="F85" s="3">
        <v>5</v>
      </c>
      <c r="G85" s="3">
        <v>8</v>
      </c>
      <c r="H85" s="3">
        <v>3</v>
      </c>
      <c r="I85" s="3">
        <v>16</v>
      </c>
      <c r="J85" s="3">
        <v>0</v>
      </c>
      <c r="K85" s="3">
        <v>20</v>
      </c>
      <c r="L85">
        <f>IFERROR(VALUE(LEFT(C85,FIND(" ",C85)-1)), "")</f>
        <v>16</v>
      </c>
    </row>
    <row r="86" spans="1:12" x14ac:dyDescent="0.3">
      <c r="A86" s="3" t="s">
        <v>258</v>
      </c>
      <c r="B86" s="3" t="s">
        <v>346</v>
      </c>
      <c r="C86" s="3" t="s">
        <v>256</v>
      </c>
      <c r="D86" s="3">
        <v>370</v>
      </c>
      <c r="E86" s="3">
        <v>50</v>
      </c>
      <c r="F86" s="3">
        <v>6</v>
      </c>
      <c r="G86" s="3">
        <v>8</v>
      </c>
      <c r="H86" s="3">
        <v>3.5</v>
      </c>
      <c r="I86" s="3">
        <v>17</v>
      </c>
      <c r="J86" s="3">
        <v>0</v>
      </c>
      <c r="K86" s="3">
        <v>25</v>
      </c>
      <c r="L86">
        <f>IFERROR(VALUE(LEFT(C86,FIND(" ",C86)-1)), "")</f>
        <v>22</v>
      </c>
    </row>
    <row r="87" spans="1:12" x14ac:dyDescent="0.3">
      <c r="A87" s="3" t="s">
        <v>258</v>
      </c>
      <c r="B87" s="3" t="s">
        <v>347</v>
      </c>
      <c r="C87" s="3" t="s">
        <v>233</v>
      </c>
      <c r="D87" s="3">
        <v>450</v>
      </c>
      <c r="E87" s="3">
        <v>160</v>
      </c>
      <c r="F87" s="3">
        <v>18</v>
      </c>
      <c r="G87" s="3">
        <v>28</v>
      </c>
      <c r="H87" s="3">
        <v>12</v>
      </c>
      <c r="I87" s="3">
        <v>59</v>
      </c>
      <c r="J87" s="3">
        <v>1</v>
      </c>
      <c r="K87" s="3">
        <v>65</v>
      </c>
      <c r="L87">
        <f>IFERROR(VALUE(LEFT(C87,FIND(" ",C87)-1)), "")</f>
        <v>12</v>
      </c>
    </row>
    <row r="88" spans="1:12" x14ac:dyDescent="0.3">
      <c r="A88" s="3" t="s">
        <v>258</v>
      </c>
      <c r="B88" s="3" t="s">
        <v>348</v>
      </c>
      <c r="C88" s="3" t="s">
        <v>227</v>
      </c>
      <c r="D88" s="3">
        <v>550</v>
      </c>
      <c r="E88" s="3">
        <v>200</v>
      </c>
      <c r="F88" s="3">
        <v>22</v>
      </c>
      <c r="G88" s="3">
        <v>34</v>
      </c>
      <c r="H88" s="3">
        <v>14</v>
      </c>
      <c r="I88" s="3">
        <v>71</v>
      </c>
      <c r="J88" s="3">
        <v>1</v>
      </c>
      <c r="K88" s="3">
        <v>75</v>
      </c>
      <c r="L88">
        <f>IFERROR(VALUE(LEFT(C88,FIND(" ",C88)-1)), "")</f>
        <v>16</v>
      </c>
    </row>
    <row r="89" spans="1:12" x14ac:dyDescent="0.3">
      <c r="A89" s="3" t="s">
        <v>258</v>
      </c>
      <c r="B89" s="3" t="s">
        <v>349</v>
      </c>
      <c r="C89" s="3" t="s">
        <v>256</v>
      </c>
      <c r="D89" s="3">
        <v>670</v>
      </c>
      <c r="E89" s="3">
        <v>240</v>
      </c>
      <c r="F89" s="3">
        <v>26</v>
      </c>
      <c r="G89" s="3">
        <v>41</v>
      </c>
      <c r="H89" s="3">
        <v>17</v>
      </c>
      <c r="I89" s="3">
        <v>85</v>
      </c>
      <c r="J89" s="3">
        <v>1</v>
      </c>
      <c r="K89" s="3">
        <v>90</v>
      </c>
      <c r="L89">
        <f>IFERROR(VALUE(LEFT(C89,FIND(" ",C89)-1)), "")</f>
        <v>22</v>
      </c>
    </row>
    <row r="90" spans="1:12" x14ac:dyDescent="0.3">
      <c r="A90" s="3" t="s">
        <v>258</v>
      </c>
      <c r="B90" s="3" t="s">
        <v>350</v>
      </c>
      <c r="C90" s="3" t="s">
        <v>233</v>
      </c>
      <c r="D90" s="3">
        <v>450</v>
      </c>
      <c r="E90" s="3">
        <v>170</v>
      </c>
      <c r="F90" s="3">
        <v>19</v>
      </c>
      <c r="G90" s="3">
        <v>29</v>
      </c>
      <c r="H90" s="3">
        <v>12</v>
      </c>
      <c r="I90" s="3">
        <v>60</v>
      </c>
      <c r="J90" s="3">
        <v>1</v>
      </c>
      <c r="K90" s="3">
        <v>65</v>
      </c>
      <c r="L90">
        <f>IFERROR(VALUE(LEFT(C90,FIND(" ",C90)-1)), "")</f>
        <v>12</v>
      </c>
    </row>
    <row r="91" spans="1:12" x14ac:dyDescent="0.3">
      <c r="A91" s="3" t="s">
        <v>258</v>
      </c>
      <c r="B91" s="3" t="s">
        <v>351</v>
      </c>
      <c r="C91" s="3" t="s">
        <v>227</v>
      </c>
      <c r="D91" s="3">
        <v>550</v>
      </c>
      <c r="E91" s="3">
        <v>200</v>
      </c>
      <c r="F91" s="3">
        <v>23</v>
      </c>
      <c r="G91" s="3">
        <v>35</v>
      </c>
      <c r="H91" s="3">
        <v>15</v>
      </c>
      <c r="I91" s="3">
        <v>73</v>
      </c>
      <c r="J91" s="3">
        <v>1</v>
      </c>
      <c r="K91" s="3">
        <v>80</v>
      </c>
      <c r="L91">
        <f>IFERROR(VALUE(LEFT(C91,FIND(" ",C91)-1)), "")</f>
        <v>16</v>
      </c>
    </row>
    <row r="92" spans="1:12" x14ac:dyDescent="0.3">
      <c r="A92" s="3" t="s">
        <v>258</v>
      </c>
      <c r="B92" s="3" t="s">
        <v>352</v>
      </c>
      <c r="C92" s="3" t="s">
        <v>256</v>
      </c>
      <c r="D92" s="3">
        <v>670</v>
      </c>
      <c r="E92" s="3">
        <v>250</v>
      </c>
      <c r="F92" s="3">
        <v>27</v>
      </c>
      <c r="G92" s="3">
        <v>42</v>
      </c>
      <c r="H92" s="3">
        <v>17</v>
      </c>
      <c r="I92" s="3">
        <v>87</v>
      </c>
      <c r="J92" s="3">
        <v>1.5</v>
      </c>
      <c r="K92" s="3">
        <v>95</v>
      </c>
      <c r="L92">
        <f>IFERROR(VALUE(LEFT(C92,FIND(" ",C92)-1)), "")</f>
        <v>22</v>
      </c>
    </row>
    <row r="93" spans="1:12" x14ac:dyDescent="0.3">
      <c r="A93" s="3" t="s">
        <v>258</v>
      </c>
      <c r="B93" s="3" t="s">
        <v>353</v>
      </c>
      <c r="C93" s="3" t="s">
        <v>233</v>
      </c>
      <c r="D93" s="3">
        <v>530</v>
      </c>
      <c r="E93" s="3">
        <v>200</v>
      </c>
      <c r="F93" s="3">
        <v>23</v>
      </c>
      <c r="G93" s="3">
        <v>35</v>
      </c>
      <c r="H93" s="3">
        <v>14</v>
      </c>
      <c r="I93" s="3">
        <v>72</v>
      </c>
      <c r="J93" s="3">
        <v>1</v>
      </c>
      <c r="K93" s="3">
        <v>65</v>
      </c>
      <c r="L93">
        <f>IFERROR(VALUE(LEFT(C93,FIND(" ",C93)-1)), "")</f>
        <v>12</v>
      </c>
    </row>
    <row r="94" spans="1:12" x14ac:dyDescent="0.3">
      <c r="A94" s="3" t="s">
        <v>258</v>
      </c>
      <c r="B94" s="3" t="s">
        <v>354</v>
      </c>
      <c r="C94" s="3" t="s">
        <v>227</v>
      </c>
      <c r="D94" s="3">
        <v>630</v>
      </c>
      <c r="E94" s="3">
        <v>240</v>
      </c>
      <c r="F94" s="3">
        <v>26</v>
      </c>
      <c r="G94" s="3">
        <v>41</v>
      </c>
      <c r="H94" s="3">
        <v>17</v>
      </c>
      <c r="I94" s="3">
        <v>85</v>
      </c>
      <c r="J94" s="3">
        <v>1</v>
      </c>
      <c r="K94" s="3">
        <v>80</v>
      </c>
      <c r="L94">
        <f>IFERROR(VALUE(LEFT(C94,FIND(" ",C94)-1)), "")</f>
        <v>16</v>
      </c>
    </row>
    <row r="95" spans="1:12" x14ac:dyDescent="0.3">
      <c r="A95" s="3" t="s">
        <v>258</v>
      </c>
      <c r="B95" s="3" t="s">
        <v>355</v>
      </c>
      <c r="C95" s="3" t="s">
        <v>256</v>
      </c>
      <c r="D95" s="3">
        <v>760</v>
      </c>
      <c r="E95" s="3">
        <v>280</v>
      </c>
      <c r="F95" s="3">
        <v>31</v>
      </c>
      <c r="G95" s="3">
        <v>48</v>
      </c>
      <c r="H95" s="3">
        <v>20</v>
      </c>
      <c r="I95" s="3">
        <v>101</v>
      </c>
      <c r="J95" s="3">
        <v>1.5</v>
      </c>
      <c r="K95" s="3">
        <v>95</v>
      </c>
      <c r="L95">
        <f>IFERROR(VALUE(LEFT(C95,FIND(" ",C95)-1)), "")</f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FD48-D31A-4971-8593-A7F4D5348D6D}">
  <dimension ref="A1:L7"/>
  <sheetViews>
    <sheetView workbookViewId="0">
      <selection sqref="A1:L7"/>
    </sheetView>
  </sheetViews>
  <sheetFormatPr defaultRowHeight="14.4" x14ac:dyDescent="0.3"/>
  <sheetData>
    <row r="1" spans="1:12" x14ac:dyDescent="0.3">
      <c r="A1" s="3" t="s">
        <v>212</v>
      </c>
      <c r="B1" s="3" t="s">
        <v>213</v>
      </c>
      <c r="C1" s="3" t="s">
        <v>214</v>
      </c>
      <c r="D1" s="3">
        <v>250</v>
      </c>
      <c r="E1" s="3">
        <v>110</v>
      </c>
      <c r="F1" s="3">
        <v>13</v>
      </c>
      <c r="G1" s="3">
        <v>19</v>
      </c>
      <c r="H1" s="3">
        <v>7</v>
      </c>
      <c r="I1" s="3">
        <v>35</v>
      </c>
      <c r="J1" s="3">
        <v>0</v>
      </c>
      <c r="K1" s="3">
        <v>0</v>
      </c>
      <c r="L1">
        <f>IFERROR(VALUE(LEFT(C1,FIND(" ",C1)-1)), "")</f>
        <v>2.7</v>
      </c>
    </row>
    <row r="2" spans="1:12" x14ac:dyDescent="0.3">
      <c r="A2" s="3" t="s">
        <v>212</v>
      </c>
      <c r="B2" s="3" t="s">
        <v>215</v>
      </c>
      <c r="C2" s="3" t="s">
        <v>216</v>
      </c>
      <c r="D2" s="3">
        <v>160</v>
      </c>
      <c r="E2" s="3">
        <v>70</v>
      </c>
      <c r="F2" s="3">
        <v>8</v>
      </c>
      <c r="G2" s="3">
        <v>12</v>
      </c>
      <c r="H2" s="3">
        <v>3.5</v>
      </c>
      <c r="I2" s="3">
        <v>19</v>
      </c>
      <c r="J2" s="3">
        <v>0</v>
      </c>
      <c r="K2" s="3">
        <v>10</v>
      </c>
      <c r="L2">
        <f>IFERROR(VALUE(LEFT(C2,FIND(" ",C2)-1)), "")</f>
        <v>1</v>
      </c>
    </row>
    <row r="3" spans="1:12" x14ac:dyDescent="0.3">
      <c r="A3" s="3" t="s">
        <v>212</v>
      </c>
      <c r="B3" s="3" t="s">
        <v>217</v>
      </c>
      <c r="C3" s="3" t="s">
        <v>216</v>
      </c>
      <c r="D3" s="3">
        <v>150</v>
      </c>
      <c r="E3" s="3">
        <v>50</v>
      </c>
      <c r="F3" s="3">
        <v>6</v>
      </c>
      <c r="G3" s="3">
        <v>9</v>
      </c>
      <c r="H3" s="3">
        <v>2.5</v>
      </c>
      <c r="I3" s="3">
        <v>13</v>
      </c>
      <c r="J3" s="3">
        <v>0</v>
      </c>
      <c r="K3" s="3">
        <v>10</v>
      </c>
      <c r="L3">
        <f>IFERROR(VALUE(LEFT(C3,FIND(" ",C3)-1)), "")</f>
        <v>1</v>
      </c>
    </row>
    <row r="4" spans="1:12" x14ac:dyDescent="0.3">
      <c r="A4" s="3" t="s">
        <v>212</v>
      </c>
      <c r="B4" s="3" t="s">
        <v>218</v>
      </c>
      <c r="C4" s="3" t="s">
        <v>219</v>
      </c>
      <c r="D4" s="3">
        <v>45</v>
      </c>
      <c r="E4" s="3">
        <v>10</v>
      </c>
      <c r="F4" s="3">
        <v>1.5</v>
      </c>
      <c r="G4" s="3">
        <v>2</v>
      </c>
      <c r="H4" s="3">
        <v>1</v>
      </c>
      <c r="I4" s="3">
        <v>4</v>
      </c>
      <c r="J4" s="3">
        <v>0</v>
      </c>
      <c r="K4" s="3">
        <v>5</v>
      </c>
      <c r="L4">
        <f>IFERROR(VALUE(LEFT(C4,FIND(" ",C4)-1)), "")</f>
        <v>1</v>
      </c>
    </row>
    <row r="5" spans="1:12" x14ac:dyDescent="0.3">
      <c r="A5" s="3" t="s">
        <v>212</v>
      </c>
      <c r="B5" s="3" t="s">
        <v>220</v>
      </c>
      <c r="C5" s="3" t="s">
        <v>221</v>
      </c>
      <c r="D5" s="3">
        <v>330</v>
      </c>
      <c r="E5" s="3">
        <v>80</v>
      </c>
      <c r="F5" s="3">
        <v>9</v>
      </c>
      <c r="G5" s="3">
        <v>14</v>
      </c>
      <c r="H5" s="3">
        <v>7</v>
      </c>
      <c r="I5" s="3">
        <v>34</v>
      </c>
      <c r="J5" s="3">
        <v>0</v>
      </c>
      <c r="K5" s="3">
        <v>25</v>
      </c>
      <c r="L5">
        <f>IFERROR(VALUE(LEFT(C5,FIND(" ",C5)-1)), "")</f>
        <v>6.3</v>
      </c>
    </row>
    <row r="6" spans="1:12" x14ac:dyDescent="0.3">
      <c r="A6" s="3" t="s">
        <v>212</v>
      </c>
      <c r="B6" s="3" t="s">
        <v>222</v>
      </c>
      <c r="C6" s="3" t="s">
        <v>223</v>
      </c>
      <c r="D6" s="3">
        <v>340</v>
      </c>
      <c r="E6" s="3">
        <v>70</v>
      </c>
      <c r="F6" s="3">
        <v>8</v>
      </c>
      <c r="G6" s="3">
        <v>12</v>
      </c>
      <c r="H6" s="3">
        <v>5</v>
      </c>
      <c r="I6" s="3">
        <v>24</v>
      </c>
      <c r="J6" s="3">
        <v>0</v>
      </c>
      <c r="K6" s="3">
        <v>30</v>
      </c>
      <c r="L6">
        <f>IFERROR(VALUE(LEFT(C6,FIND(" ",C6)-1)), "")</f>
        <v>6.4</v>
      </c>
    </row>
    <row r="7" spans="1:12" x14ac:dyDescent="0.3">
      <c r="A7" s="3" t="s">
        <v>212</v>
      </c>
      <c r="B7" s="3" t="s">
        <v>224</v>
      </c>
      <c r="C7" s="3" t="s">
        <v>57</v>
      </c>
      <c r="D7" s="3">
        <v>280</v>
      </c>
      <c r="E7" s="3">
        <v>60</v>
      </c>
      <c r="F7" s="3">
        <v>6</v>
      </c>
      <c r="G7" s="3">
        <v>10</v>
      </c>
      <c r="H7" s="3">
        <v>4</v>
      </c>
      <c r="I7" s="3">
        <v>20</v>
      </c>
      <c r="J7" s="3">
        <v>0</v>
      </c>
      <c r="K7" s="3">
        <v>25</v>
      </c>
      <c r="L7">
        <f>IFERROR(VALUE(LEFT(C7,FIND(" ",C7)-1)), "")</f>
        <v>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93B0-AD4A-4579-975E-7F3B6004EA58}">
  <dimension ref="A1:L13"/>
  <sheetViews>
    <sheetView workbookViewId="0">
      <selection sqref="A1:L13"/>
    </sheetView>
  </sheetViews>
  <sheetFormatPr defaultRowHeight="14.4" x14ac:dyDescent="0.3"/>
  <sheetData>
    <row r="1" spans="1:12" x14ac:dyDescent="0.3">
      <c r="A1" s="3" t="s">
        <v>187</v>
      </c>
      <c r="B1" s="3" t="s">
        <v>188</v>
      </c>
      <c r="C1" s="3" t="s">
        <v>189</v>
      </c>
      <c r="D1" s="3">
        <v>340</v>
      </c>
      <c r="E1" s="3">
        <v>130</v>
      </c>
      <c r="F1" s="3">
        <v>15</v>
      </c>
      <c r="G1" s="3">
        <v>23</v>
      </c>
      <c r="H1" s="3">
        <v>4.5</v>
      </c>
      <c r="I1" s="3">
        <v>22</v>
      </c>
      <c r="J1" s="3">
        <v>0</v>
      </c>
      <c r="K1" s="3">
        <v>30</v>
      </c>
      <c r="L1">
        <f>IFERROR(VALUE(LEFT(C1,FIND(" ",C1)-1)), "")</f>
        <v>4.5999999999999996</v>
      </c>
    </row>
    <row r="2" spans="1:12" x14ac:dyDescent="0.3">
      <c r="A2" s="3" t="s">
        <v>187</v>
      </c>
      <c r="B2" s="3" t="s">
        <v>190</v>
      </c>
      <c r="C2" s="3" t="s">
        <v>191</v>
      </c>
      <c r="D2" s="3">
        <v>260</v>
      </c>
      <c r="E2" s="3">
        <v>70</v>
      </c>
      <c r="F2" s="3">
        <v>8</v>
      </c>
      <c r="G2" s="3">
        <v>13</v>
      </c>
      <c r="H2" s="3">
        <v>3.5</v>
      </c>
      <c r="I2" s="3">
        <v>18</v>
      </c>
      <c r="J2" s="3">
        <v>0</v>
      </c>
      <c r="K2" s="3">
        <v>40</v>
      </c>
      <c r="L2">
        <f>IFERROR(VALUE(LEFT(C2,FIND(" ",C2)-1)), "")</f>
        <v>4.3</v>
      </c>
    </row>
    <row r="3" spans="1:12" x14ac:dyDescent="0.3">
      <c r="A3" s="3" t="s">
        <v>187</v>
      </c>
      <c r="B3" s="3" t="s">
        <v>192</v>
      </c>
      <c r="C3" s="3" t="s">
        <v>191</v>
      </c>
      <c r="D3" s="3">
        <v>330</v>
      </c>
      <c r="E3" s="3">
        <v>130</v>
      </c>
      <c r="F3" s="3">
        <v>15</v>
      </c>
      <c r="G3" s="3">
        <v>23</v>
      </c>
      <c r="H3" s="3">
        <v>4.5</v>
      </c>
      <c r="I3" s="3">
        <v>22</v>
      </c>
      <c r="J3" s="3">
        <v>0</v>
      </c>
      <c r="K3" s="3">
        <v>35</v>
      </c>
      <c r="L3">
        <f>IFERROR(VALUE(LEFT(C3,FIND(" ",C3)-1)), "")</f>
        <v>4.3</v>
      </c>
    </row>
    <row r="4" spans="1:12" x14ac:dyDescent="0.3">
      <c r="A4" s="3" t="s">
        <v>187</v>
      </c>
      <c r="B4" s="3" t="s">
        <v>193</v>
      </c>
      <c r="C4" s="3" t="s">
        <v>194</v>
      </c>
      <c r="D4" s="3">
        <v>250</v>
      </c>
      <c r="E4" s="3">
        <v>70</v>
      </c>
      <c r="F4" s="3">
        <v>8</v>
      </c>
      <c r="G4" s="3">
        <v>13</v>
      </c>
      <c r="H4" s="3">
        <v>3.5</v>
      </c>
      <c r="I4" s="3">
        <v>18</v>
      </c>
      <c r="J4" s="3">
        <v>0</v>
      </c>
      <c r="K4" s="3">
        <v>45</v>
      </c>
      <c r="L4">
        <f>IFERROR(VALUE(LEFT(C4,FIND(" ",C4)-1)), "")</f>
        <v>4.0999999999999996</v>
      </c>
    </row>
    <row r="5" spans="1:12" x14ac:dyDescent="0.3">
      <c r="A5" s="3" t="s">
        <v>187</v>
      </c>
      <c r="B5" s="3" t="s">
        <v>195</v>
      </c>
      <c r="C5" s="3" t="s">
        <v>196</v>
      </c>
      <c r="D5" s="3">
        <v>360</v>
      </c>
      <c r="E5" s="3">
        <v>180</v>
      </c>
      <c r="F5" s="3">
        <v>20</v>
      </c>
      <c r="G5" s="3">
        <v>30</v>
      </c>
      <c r="H5" s="3">
        <v>5</v>
      </c>
      <c r="I5" s="3">
        <v>27</v>
      </c>
      <c r="J5" s="3">
        <v>0</v>
      </c>
      <c r="K5" s="3">
        <v>40</v>
      </c>
      <c r="L5">
        <f>IFERROR(VALUE(LEFT(C5,FIND(" ",C5)-1)), "")</f>
        <v>4.5</v>
      </c>
    </row>
    <row r="6" spans="1:12" x14ac:dyDescent="0.3">
      <c r="A6" s="3" t="s">
        <v>187</v>
      </c>
      <c r="B6" s="3" t="s">
        <v>197</v>
      </c>
      <c r="C6" s="3" t="s">
        <v>198</v>
      </c>
      <c r="D6" s="3">
        <v>280</v>
      </c>
      <c r="E6" s="3">
        <v>120</v>
      </c>
      <c r="F6" s="3">
        <v>13</v>
      </c>
      <c r="G6" s="3">
        <v>20</v>
      </c>
      <c r="H6" s="3">
        <v>4.5</v>
      </c>
      <c r="I6" s="3">
        <v>22</v>
      </c>
      <c r="J6" s="3">
        <v>0</v>
      </c>
      <c r="K6" s="3">
        <v>45</v>
      </c>
      <c r="L6">
        <f>IFERROR(VALUE(LEFT(C6,FIND(" ",C6)-1)), "")</f>
        <v>4.3</v>
      </c>
    </row>
    <row r="7" spans="1:12" x14ac:dyDescent="0.3">
      <c r="A7" s="3" t="s">
        <v>187</v>
      </c>
      <c r="B7" s="3" t="s">
        <v>199</v>
      </c>
      <c r="C7" s="3" t="s">
        <v>200</v>
      </c>
      <c r="D7" s="3">
        <v>230</v>
      </c>
      <c r="E7" s="3">
        <v>100</v>
      </c>
      <c r="F7" s="3">
        <v>11</v>
      </c>
      <c r="G7" s="3">
        <v>17</v>
      </c>
      <c r="H7" s="3">
        <v>1.5</v>
      </c>
      <c r="I7" s="3">
        <v>8</v>
      </c>
      <c r="J7" s="3">
        <v>0</v>
      </c>
      <c r="K7" s="3">
        <v>0</v>
      </c>
      <c r="L7">
        <f>IFERROR(VALUE(LEFT(C7,FIND(" ",C7)-1)), "")</f>
        <v>2.6</v>
      </c>
    </row>
    <row r="8" spans="1:12" x14ac:dyDescent="0.3">
      <c r="A8" s="3" t="s">
        <v>187</v>
      </c>
      <c r="B8" s="3" t="s">
        <v>201</v>
      </c>
      <c r="C8" s="3" t="s">
        <v>23</v>
      </c>
      <c r="D8" s="3">
        <v>340</v>
      </c>
      <c r="E8" s="3">
        <v>140</v>
      </c>
      <c r="F8" s="3">
        <v>16</v>
      </c>
      <c r="G8" s="3">
        <v>24</v>
      </c>
      <c r="H8" s="3">
        <v>2.5</v>
      </c>
      <c r="I8" s="3">
        <v>11</v>
      </c>
      <c r="J8" s="3">
        <v>0</v>
      </c>
      <c r="K8" s="3">
        <v>0</v>
      </c>
      <c r="L8">
        <f>IFERROR(VALUE(LEFT(C8,FIND(" ",C8)-1)), "")</f>
        <v>3.9</v>
      </c>
    </row>
    <row r="9" spans="1:12" x14ac:dyDescent="0.3">
      <c r="A9" s="3" t="s">
        <v>187</v>
      </c>
      <c r="B9" s="3" t="s">
        <v>202</v>
      </c>
      <c r="C9" s="3" t="s">
        <v>203</v>
      </c>
      <c r="D9" s="3">
        <v>510</v>
      </c>
      <c r="E9" s="3">
        <v>220</v>
      </c>
      <c r="F9" s="3">
        <v>24</v>
      </c>
      <c r="G9" s="3">
        <v>37</v>
      </c>
      <c r="H9" s="3">
        <v>3.5</v>
      </c>
      <c r="I9" s="3">
        <v>17</v>
      </c>
      <c r="J9" s="3">
        <v>0</v>
      </c>
      <c r="K9" s="3">
        <v>0</v>
      </c>
      <c r="L9">
        <f>IFERROR(VALUE(LEFT(C9,FIND(" ",C9)-1)), "")</f>
        <v>5.9</v>
      </c>
    </row>
    <row r="10" spans="1:12" x14ac:dyDescent="0.3">
      <c r="A10" s="3" t="s">
        <v>187</v>
      </c>
      <c r="B10" s="3" t="s">
        <v>204</v>
      </c>
      <c r="C10" s="3" t="s">
        <v>205</v>
      </c>
      <c r="D10" s="3">
        <v>110</v>
      </c>
      <c r="E10" s="3">
        <v>50</v>
      </c>
      <c r="F10" s="3">
        <v>5</v>
      </c>
      <c r="G10" s="3">
        <v>8</v>
      </c>
      <c r="H10" s="3">
        <v>1</v>
      </c>
      <c r="I10" s="3">
        <v>4</v>
      </c>
      <c r="J10" s="3">
        <v>0</v>
      </c>
      <c r="K10" s="3">
        <v>0</v>
      </c>
      <c r="L10">
        <f>IFERROR(VALUE(LEFT(C10,FIND(" ",C10)-1)), "")</f>
        <v>1.3</v>
      </c>
    </row>
    <row r="11" spans="1:12" x14ac:dyDescent="0.3">
      <c r="A11" s="3" t="s">
        <v>187</v>
      </c>
      <c r="B11" s="3" t="s">
        <v>206</v>
      </c>
      <c r="C11" s="3" t="s">
        <v>207</v>
      </c>
      <c r="D11" s="3">
        <v>20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>
        <f>IFERROR(VALUE(LEFT(C11,FIND(" ",C11)-1)), "")</f>
        <v>3.1</v>
      </c>
    </row>
    <row r="12" spans="1:12" x14ac:dyDescent="0.3">
      <c r="A12" s="3" t="s">
        <v>187</v>
      </c>
      <c r="B12" s="3" t="s">
        <v>208</v>
      </c>
      <c r="C12" s="3" t="s">
        <v>209</v>
      </c>
      <c r="D12" s="3">
        <v>15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>
        <f>IFERROR(VALUE(LEFT(C12,FIND(" ",C12)-1)), "")</f>
        <v>1.2</v>
      </c>
    </row>
    <row r="13" spans="1:12" x14ac:dyDescent="0.3">
      <c r="A13" s="3" t="s">
        <v>187</v>
      </c>
      <c r="B13" s="3" t="s">
        <v>210</v>
      </c>
      <c r="C13" s="3" t="s">
        <v>211</v>
      </c>
      <c r="D13" s="3">
        <v>150</v>
      </c>
      <c r="E13" s="3">
        <v>20</v>
      </c>
      <c r="F13" s="3">
        <v>2</v>
      </c>
      <c r="G13" s="3">
        <v>3</v>
      </c>
      <c r="H13" s="3">
        <v>1</v>
      </c>
      <c r="I13" s="3">
        <v>5</v>
      </c>
      <c r="J13" s="3">
        <v>0</v>
      </c>
      <c r="K13" s="3">
        <v>5</v>
      </c>
      <c r="L13">
        <f>IFERROR(VALUE(LEFT(C13,FIND(" ",C13)-1)), "")</f>
        <v>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3D19-A7A6-4D13-BE71-3F1970713FA5}">
  <dimension ref="A1:L6"/>
  <sheetViews>
    <sheetView workbookViewId="0">
      <selection sqref="A1:L6"/>
    </sheetView>
  </sheetViews>
  <sheetFormatPr defaultRowHeight="14.4" x14ac:dyDescent="0.3"/>
  <sheetData>
    <row r="1" spans="1:12" x14ac:dyDescent="0.3">
      <c r="A1" s="3" t="s">
        <v>176</v>
      </c>
      <c r="B1" s="3" t="s">
        <v>177</v>
      </c>
      <c r="C1" s="3" t="s">
        <v>178</v>
      </c>
      <c r="D1" s="3">
        <v>140</v>
      </c>
      <c r="E1" s="3">
        <v>70</v>
      </c>
      <c r="F1" s="3">
        <v>7</v>
      </c>
      <c r="G1" s="3">
        <v>11</v>
      </c>
      <c r="H1" s="3">
        <v>3.5</v>
      </c>
      <c r="I1" s="3">
        <v>18</v>
      </c>
      <c r="J1" s="3">
        <v>0</v>
      </c>
      <c r="K1" s="3">
        <v>25</v>
      </c>
      <c r="L1">
        <f>IFERROR(VALUE(LEFT(C1,FIND(" ",C1)-1)), "")</f>
        <v>7.9</v>
      </c>
    </row>
    <row r="2" spans="1:12" x14ac:dyDescent="0.3">
      <c r="A2" s="3" t="s">
        <v>176</v>
      </c>
      <c r="B2" s="3" t="s">
        <v>179</v>
      </c>
      <c r="C2" s="3" t="s">
        <v>180</v>
      </c>
      <c r="D2" s="3">
        <v>380</v>
      </c>
      <c r="E2" s="3">
        <v>190</v>
      </c>
      <c r="F2" s="3">
        <v>21</v>
      </c>
      <c r="G2" s="3">
        <v>33</v>
      </c>
      <c r="H2" s="3">
        <v>6</v>
      </c>
      <c r="I2" s="3">
        <v>29</v>
      </c>
      <c r="J2" s="3">
        <v>0</v>
      </c>
      <c r="K2" s="3">
        <v>70</v>
      </c>
      <c r="L2">
        <f>IFERROR(VALUE(LEFT(C2,FIND(" ",C2)-1)), "")</f>
        <v>9</v>
      </c>
    </row>
    <row r="3" spans="1:12" x14ac:dyDescent="0.3">
      <c r="A3" s="3" t="s">
        <v>176</v>
      </c>
      <c r="B3" s="3" t="s">
        <v>181</v>
      </c>
      <c r="C3" s="3" t="s">
        <v>67</v>
      </c>
      <c r="D3" s="3">
        <v>220</v>
      </c>
      <c r="E3" s="3">
        <v>80</v>
      </c>
      <c r="F3" s="3">
        <v>8</v>
      </c>
      <c r="G3" s="3">
        <v>13</v>
      </c>
      <c r="H3" s="3">
        <v>4</v>
      </c>
      <c r="I3" s="3">
        <v>20</v>
      </c>
      <c r="J3" s="3">
        <v>0</v>
      </c>
      <c r="K3" s="3">
        <v>85</v>
      </c>
      <c r="L3">
        <f>IFERROR(VALUE(LEFT(C3,FIND(" ",C3)-1)), "")</f>
        <v>8.5</v>
      </c>
    </row>
    <row r="4" spans="1:12" x14ac:dyDescent="0.3">
      <c r="A4" s="3" t="s">
        <v>176</v>
      </c>
      <c r="B4" s="3" t="s">
        <v>182</v>
      </c>
      <c r="C4" s="3" t="s">
        <v>133</v>
      </c>
      <c r="D4" s="3">
        <v>140</v>
      </c>
      <c r="E4" s="3">
        <v>40</v>
      </c>
      <c r="F4" s="3">
        <v>4.5</v>
      </c>
      <c r="G4" s="3">
        <v>7</v>
      </c>
      <c r="H4" s="3">
        <v>2</v>
      </c>
      <c r="I4" s="3">
        <v>9</v>
      </c>
      <c r="J4" s="3">
        <v>0</v>
      </c>
      <c r="K4" s="3">
        <v>10</v>
      </c>
      <c r="L4">
        <f>IFERROR(VALUE(LEFT(C4,FIND(" ",C4)-1)), "")</f>
        <v>8.1</v>
      </c>
    </row>
    <row r="5" spans="1:12" x14ac:dyDescent="0.3">
      <c r="A5" s="3" t="s">
        <v>176</v>
      </c>
      <c r="B5" s="3" t="s">
        <v>183</v>
      </c>
      <c r="C5" s="3" t="s">
        <v>184</v>
      </c>
      <c r="D5" s="3">
        <v>450</v>
      </c>
      <c r="E5" s="3">
        <v>190</v>
      </c>
      <c r="F5" s="3">
        <v>22</v>
      </c>
      <c r="G5" s="3">
        <v>33</v>
      </c>
      <c r="H5" s="3">
        <v>4.5</v>
      </c>
      <c r="I5" s="3">
        <v>22</v>
      </c>
      <c r="J5" s="3">
        <v>0</v>
      </c>
      <c r="K5" s="3">
        <v>50</v>
      </c>
      <c r="L5">
        <f>IFERROR(VALUE(LEFT(C5,FIND(" ",C5)-1)), "")</f>
        <v>12.3</v>
      </c>
    </row>
    <row r="6" spans="1:12" x14ac:dyDescent="0.3">
      <c r="A6" s="3" t="s">
        <v>176</v>
      </c>
      <c r="B6" s="3" t="s">
        <v>185</v>
      </c>
      <c r="C6" s="3" t="s">
        <v>186</v>
      </c>
      <c r="D6" s="3">
        <v>290</v>
      </c>
      <c r="E6" s="3">
        <v>80</v>
      </c>
      <c r="F6" s="3">
        <v>8</v>
      </c>
      <c r="G6" s="3">
        <v>13</v>
      </c>
      <c r="H6" s="3">
        <v>2.5</v>
      </c>
      <c r="I6" s="3">
        <v>13</v>
      </c>
      <c r="J6" s="3">
        <v>0</v>
      </c>
      <c r="K6" s="3">
        <v>70</v>
      </c>
      <c r="L6">
        <f>IFERROR(VALUE(LEFT(C6,FIND(" ",C6)-1)), "")</f>
        <v>11.8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EAFC-BC85-4CB7-844D-EB608C2C8994}">
  <dimension ref="A1:R43"/>
  <sheetViews>
    <sheetView topLeftCell="D23" zoomScale="80" workbookViewId="0">
      <selection activeCell="G1" sqref="G1"/>
    </sheetView>
  </sheetViews>
  <sheetFormatPr defaultRowHeight="14.4" x14ac:dyDescent="0.3"/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10</v>
      </c>
      <c r="H1" s="3" t="s">
        <v>423</v>
      </c>
      <c r="I1" s="3" t="s">
        <v>11</v>
      </c>
      <c r="J1" s="3" t="s">
        <v>14</v>
      </c>
      <c r="K1" s="3" t="s">
        <v>13</v>
      </c>
      <c r="L1" s="3" t="s">
        <v>15</v>
      </c>
      <c r="M1" s="3" t="s">
        <v>16</v>
      </c>
      <c r="N1" s="3" t="s">
        <v>12</v>
      </c>
      <c r="O1" s="3" t="s">
        <v>424</v>
      </c>
      <c r="P1" s="3" t="s">
        <v>425</v>
      </c>
      <c r="Q1" s="3" t="s">
        <v>426</v>
      </c>
      <c r="R1" s="3" t="s">
        <v>427</v>
      </c>
    </row>
    <row r="2" spans="1:18" x14ac:dyDescent="0.3">
      <c r="A2" s="3" t="s">
        <v>17</v>
      </c>
      <c r="B2" s="3" t="s">
        <v>18</v>
      </c>
      <c r="C2" s="3" t="s">
        <v>19</v>
      </c>
      <c r="D2" s="3">
        <v>300</v>
      </c>
      <c r="E2" s="3">
        <v>13</v>
      </c>
      <c r="F2" s="3">
        <v>5</v>
      </c>
      <c r="G2" s="3">
        <v>260</v>
      </c>
      <c r="H2">
        <f>IFERROR(VALUE(LEFT(C2,FIND(" ",C2)-1)), "")</f>
        <v>4.8</v>
      </c>
      <c r="I2" s="3">
        <v>750</v>
      </c>
      <c r="J2" s="3">
        <v>17</v>
      </c>
      <c r="K2" s="3">
        <v>3</v>
      </c>
      <c r="L2" s="3">
        <v>25</v>
      </c>
      <c r="M2" s="3">
        <v>15</v>
      </c>
      <c r="N2" s="3">
        <v>31</v>
      </c>
      <c r="O2">
        <f>(D2-AVERAGE(D2:D43))/_xlfn.STDEV.P(D2:D43)</f>
        <v>-1.034912225385167</v>
      </c>
      <c r="P2">
        <f>(E2-AVERAGE(E2:E43))/_xlfn.STDEV.P(E2:E43)</f>
        <v>-1.1145230486550584</v>
      </c>
      <c r="Q2">
        <f>(K2-AVERAGE(K2:K43))/_xlfn.STDEV.P(K2:K43)</f>
        <v>-0.66620381648814275</v>
      </c>
      <c r="R2">
        <f>(I2-AVERAGE(I2:I43))/_xlfn.STDEV.P(I2:I43)</f>
        <v>-0.91587629079933419</v>
      </c>
    </row>
    <row r="3" spans="1:18" x14ac:dyDescent="0.3">
      <c r="A3" s="3" t="s">
        <v>17</v>
      </c>
      <c r="B3" s="3" t="s">
        <v>20</v>
      </c>
      <c r="C3" s="3" t="s">
        <v>21</v>
      </c>
      <c r="D3" s="3">
        <v>250</v>
      </c>
      <c r="E3" s="3">
        <v>8</v>
      </c>
      <c r="F3" s="3">
        <v>3</v>
      </c>
      <c r="G3" s="3">
        <v>25</v>
      </c>
      <c r="H3">
        <f>IFERROR(VALUE(LEFT(C3,FIND(" ",C3)-1)), "")</f>
        <v>4.8</v>
      </c>
      <c r="I3" s="3">
        <v>770</v>
      </c>
      <c r="J3" s="3">
        <v>18</v>
      </c>
      <c r="K3" s="3">
        <v>3</v>
      </c>
      <c r="L3" s="3">
        <v>25</v>
      </c>
      <c r="M3" s="3">
        <v>8</v>
      </c>
      <c r="N3" s="3">
        <v>30</v>
      </c>
      <c r="O3">
        <f t="shared" ref="O3:O43" si="0">(D3-AVERAGE(D3:D44))/_xlfn.STDEV.P(D3:D44)</f>
        <v>-1.2899729152174382</v>
      </c>
      <c r="P3">
        <f t="shared" ref="P3:P43" si="1">(E3-AVERAGE(E3:E44))/_xlfn.STDEV.P(E3:E44)</f>
        <v>-1.526121009034261</v>
      </c>
      <c r="Q3">
        <f t="shared" ref="Q3:Q43" si="2">(K3-AVERAGE(K3:K44))/_xlfn.STDEV.P(K3:K44)</f>
        <v>-0.67795876649165199</v>
      </c>
      <c r="R3">
        <f t="shared" ref="R3:R43" si="3">(I3-AVERAGE(I3:I44))/_xlfn.STDEV.P(I3:I44)</f>
        <v>-0.8969487244317601</v>
      </c>
    </row>
    <row r="4" spans="1:18" x14ac:dyDescent="0.3">
      <c r="A4" s="3" t="s">
        <v>17</v>
      </c>
      <c r="B4" s="3" t="s">
        <v>22</v>
      </c>
      <c r="C4" s="3" t="s">
        <v>23</v>
      </c>
      <c r="D4" s="3">
        <v>370</v>
      </c>
      <c r="E4" s="3">
        <v>23</v>
      </c>
      <c r="F4" s="3">
        <v>8</v>
      </c>
      <c r="G4" s="3">
        <v>45</v>
      </c>
      <c r="H4">
        <f>IFERROR(VALUE(LEFT(C4,FIND(" ",C4)-1)), "")</f>
        <v>3.9</v>
      </c>
      <c r="I4" s="3">
        <v>780</v>
      </c>
      <c r="J4" s="3">
        <v>14</v>
      </c>
      <c r="K4" s="3">
        <v>2</v>
      </c>
      <c r="L4" s="3">
        <v>25</v>
      </c>
      <c r="M4" s="3">
        <v>10</v>
      </c>
      <c r="N4" s="3">
        <v>29</v>
      </c>
      <c r="O4">
        <f t="shared" si="0"/>
        <v>-0.78059290994073649</v>
      </c>
      <c r="P4">
        <f t="shared" si="1"/>
        <v>-0.42999038369244758</v>
      </c>
      <c r="Q4">
        <f t="shared" si="2"/>
        <v>-0.81531056095523535</v>
      </c>
      <c r="R4">
        <f t="shared" si="3"/>
        <v>-0.89757690525841749</v>
      </c>
    </row>
    <row r="5" spans="1:18" x14ac:dyDescent="0.3">
      <c r="A5" s="3" t="s">
        <v>17</v>
      </c>
      <c r="B5" s="3" t="s">
        <v>24</v>
      </c>
      <c r="C5" s="3" t="s">
        <v>25</v>
      </c>
      <c r="D5" s="3">
        <v>450</v>
      </c>
      <c r="E5" s="3">
        <v>28</v>
      </c>
      <c r="F5" s="3">
        <v>10</v>
      </c>
      <c r="G5" s="3">
        <v>285</v>
      </c>
      <c r="H5">
        <f>IFERROR(VALUE(LEFT(C5,FIND(" ",C5)-1)), "")</f>
        <v>5.7</v>
      </c>
      <c r="I5" s="3">
        <v>860</v>
      </c>
      <c r="J5" s="3">
        <v>21</v>
      </c>
      <c r="K5" s="3">
        <v>2</v>
      </c>
      <c r="L5" s="3">
        <v>30</v>
      </c>
      <c r="M5" s="3">
        <v>15</v>
      </c>
      <c r="N5" s="3">
        <v>30</v>
      </c>
      <c r="O5">
        <f t="shared" si="0"/>
        <v>-0.42958184738406979</v>
      </c>
      <c r="P5">
        <f t="shared" si="1"/>
        <v>-5.3088337773146248E-2</v>
      </c>
      <c r="Q5">
        <f t="shared" si="2"/>
        <v>-0.83282510414988475</v>
      </c>
      <c r="R5">
        <f t="shared" si="3"/>
        <v>-0.76060570623758827</v>
      </c>
    </row>
    <row r="6" spans="1:18" x14ac:dyDescent="0.3">
      <c r="A6" s="3" t="s">
        <v>17</v>
      </c>
      <c r="B6" s="3" t="s">
        <v>26</v>
      </c>
      <c r="C6" s="3" t="s">
        <v>25</v>
      </c>
      <c r="D6" s="3">
        <v>400</v>
      </c>
      <c r="E6" s="3">
        <v>23</v>
      </c>
      <c r="F6" s="3">
        <v>8</v>
      </c>
      <c r="G6" s="3">
        <v>50</v>
      </c>
      <c r="H6">
        <f>IFERROR(VALUE(LEFT(C6,FIND(" ",C6)-1)), "")</f>
        <v>5.7</v>
      </c>
      <c r="I6" s="3">
        <v>880</v>
      </c>
      <c r="J6" s="3">
        <v>21</v>
      </c>
      <c r="K6" s="3">
        <v>2</v>
      </c>
      <c r="L6" s="3">
        <v>25</v>
      </c>
      <c r="M6" s="3">
        <v>10</v>
      </c>
      <c r="N6" s="3">
        <v>30</v>
      </c>
      <c r="O6">
        <f t="shared" si="0"/>
        <v>-0.66335140435832618</v>
      </c>
      <c r="P6">
        <f t="shared" si="1"/>
        <v>-0.4322666280645947</v>
      </c>
      <c r="Q6">
        <f t="shared" si="2"/>
        <v>-0.85151916389530724</v>
      </c>
      <c r="R6">
        <f t="shared" si="3"/>
        <v>-0.73720573367744124</v>
      </c>
    </row>
    <row r="7" spans="1:18" x14ac:dyDescent="0.3">
      <c r="A7" s="3" t="s">
        <v>17</v>
      </c>
      <c r="B7" s="3" t="s">
        <v>27</v>
      </c>
      <c r="C7" s="3" t="s">
        <v>28</v>
      </c>
      <c r="D7" s="3">
        <v>430</v>
      </c>
      <c r="E7" s="3">
        <v>23</v>
      </c>
      <c r="F7" s="3">
        <v>9</v>
      </c>
      <c r="G7" s="3">
        <v>300</v>
      </c>
      <c r="H7">
        <f>IFERROR(VALUE(LEFT(C7,FIND(" ",C7)-1)), "")</f>
        <v>6.5</v>
      </c>
      <c r="I7" s="3">
        <v>960</v>
      </c>
      <c r="J7" s="3">
        <v>26</v>
      </c>
      <c r="K7" s="3">
        <v>3</v>
      </c>
      <c r="L7" s="3">
        <v>30</v>
      </c>
      <c r="M7" s="3">
        <v>20</v>
      </c>
      <c r="N7" s="3">
        <v>31</v>
      </c>
      <c r="O7">
        <f t="shared" si="0"/>
        <v>-0.54103150209045847</v>
      </c>
      <c r="P7">
        <f t="shared" si="1"/>
        <v>-0.43917948247942867</v>
      </c>
      <c r="Q7">
        <f t="shared" si="2"/>
        <v>-0.74798094342470145</v>
      </c>
      <c r="R7">
        <f t="shared" si="3"/>
        <v>-0.5964741710898751</v>
      </c>
    </row>
    <row r="8" spans="1:18" x14ac:dyDescent="0.3">
      <c r="A8" s="3" t="s">
        <v>17</v>
      </c>
      <c r="B8" s="3" t="s">
        <v>29</v>
      </c>
      <c r="C8" s="3" t="s">
        <v>30</v>
      </c>
      <c r="D8" s="3">
        <v>460</v>
      </c>
      <c r="E8" s="3">
        <v>26</v>
      </c>
      <c r="F8" s="3">
        <v>13</v>
      </c>
      <c r="G8" s="3">
        <v>250</v>
      </c>
      <c r="H8">
        <f>IFERROR(VALUE(LEFT(C8,FIND(" ",C8)-1)), "")</f>
        <v>5.3</v>
      </c>
      <c r="I8" s="3">
        <v>1300</v>
      </c>
      <c r="J8" s="3">
        <v>19</v>
      </c>
      <c r="K8" s="3">
        <v>3</v>
      </c>
      <c r="L8" s="3">
        <v>15</v>
      </c>
      <c r="M8" s="3">
        <v>15</v>
      </c>
      <c r="N8" s="3">
        <v>38</v>
      </c>
      <c r="O8">
        <f t="shared" si="0"/>
        <v>-0.41677466197649959</v>
      </c>
      <c r="P8">
        <f t="shared" si="1"/>
        <v>-0.22424613397516927</v>
      </c>
      <c r="Q8">
        <f t="shared" si="2"/>
        <v>-0.76426034322700886</v>
      </c>
      <c r="R8">
        <f t="shared" si="3"/>
        <v>5.0261911314961015E-2</v>
      </c>
    </row>
    <row r="9" spans="1:18" x14ac:dyDescent="0.3">
      <c r="A9" s="3" t="s">
        <v>17</v>
      </c>
      <c r="B9" s="3" t="s">
        <v>31</v>
      </c>
      <c r="C9" s="3" t="s">
        <v>32</v>
      </c>
      <c r="D9" s="3">
        <v>520</v>
      </c>
      <c r="E9" s="3">
        <v>30</v>
      </c>
      <c r="F9" s="3">
        <v>14</v>
      </c>
      <c r="G9" s="3">
        <v>250</v>
      </c>
      <c r="H9">
        <f>IFERROR(VALUE(LEFT(C9,FIND(" ",C9)-1)), "")</f>
        <v>5.8</v>
      </c>
      <c r="I9" s="3">
        <v>1410</v>
      </c>
      <c r="J9" s="3">
        <v>19</v>
      </c>
      <c r="K9" s="3">
        <v>4</v>
      </c>
      <c r="L9" s="3">
        <v>20</v>
      </c>
      <c r="M9" s="3">
        <v>20</v>
      </c>
      <c r="N9" s="3">
        <v>43</v>
      </c>
      <c r="O9">
        <f t="shared" si="0"/>
        <v>-0.15890229314829024</v>
      </c>
      <c r="P9">
        <f t="shared" si="1"/>
        <v>6.4727614216283827E-2</v>
      </c>
      <c r="Q9">
        <f t="shared" si="2"/>
        <v>-0.65951815780714251</v>
      </c>
      <c r="R9">
        <f t="shared" si="3"/>
        <v>0.26088086932430676</v>
      </c>
    </row>
    <row r="10" spans="1:18" x14ac:dyDescent="0.3">
      <c r="A10" s="3" t="s">
        <v>17</v>
      </c>
      <c r="B10" s="3" t="s">
        <v>33</v>
      </c>
      <c r="C10" s="3" t="s">
        <v>34</v>
      </c>
      <c r="D10" s="3">
        <v>410</v>
      </c>
      <c r="E10" s="3">
        <v>20</v>
      </c>
      <c r="F10" s="3">
        <v>11</v>
      </c>
      <c r="G10" s="3">
        <v>35</v>
      </c>
      <c r="H10">
        <f>IFERROR(VALUE(LEFT(C10,FIND(" ",C10)-1)), "")</f>
        <v>5.4</v>
      </c>
      <c r="I10" s="3">
        <v>1300</v>
      </c>
      <c r="J10" s="3">
        <v>20</v>
      </c>
      <c r="K10" s="3">
        <v>3</v>
      </c>
      <c r="L10" s="3">
        <v>15</v>
      </c>
      <c r="M10" s="3">
        <v>10</v>
      </c>
      <c r="N10" s="3">
        <v>36</v>
      </c>
      <c r="O10">
        <f t="shared" si="0"/>
        <v>-0.64000815938803379</v>
      </c>
      <c r="P10">
        <f t="shared" si="1"/>
        <v>-0.65464779389309413</v>
      </c>
      <c r="Q10">
        <f t="shared" si="2"/>
        <v>-0.79462144356244879</v>
      </c>
      <c r="R10">
        <f t="shared" si="3"/>
        <v>5.7863706707841613E-2</v>
      </c>
    </row>
    <row r="11" spans="1:18" x14ac:dyDescent="0.3">
      <c r="A11" s="3" t="s">
        <v>17</v>
      </c>
      <c r="B11" s="3" t="s">
        <v>35</v>
      </c>
      <c r="C11" s="3" t="s">
        <v>36</v>
      </c>
      <c r="D11" s="3">
        <v>470</v>
      </c>
      <c r="E11" s="3">
        <v>25</v>
      </c>
      <c r="F11" s="3">
        <v>12</v>
      </c>
      <c r="G11" s="3">
        <v>35</v>
      </c>
      <c r="H11">
        <f>IFERROR(VALUE(LEFT(C11,FIND(" ",C11)-1)), "")</f>
        <v>5.9</v>
      </c>
      <c r="I11" s="3">
        <v>1420</v>
      </c>
      <c r="J11" s="3">
        <v>20</v>
      </c>
      <c r="K11" s="3">
        <v>4</v>
      </c>
      <c r="L11" s="3">
        <v>15</v>
      </c>
      <c r="M11" s="3">
        <v>15</v>
      </c>
      <c r="N11" s="3">
        <v>42</v>
      </c>
      <c r="O11">
        <f t="shared" si="0"/>
        <v>-0.39483635328288852</v>
      </c>
      <c r="P11">
        <f t="shared" si="1"/>
        <v>-0.31169707374641131</v>
      </c>
      <c r="Q11">
        <f t="shared" si="2"/>
        <v>-0.69388368324428562</v>
      </c>
      <c r="R11">
        <f t="shared" si="3"/>
        <v>0.28131867537399957</v>
      </c>
    </row>
    <row r="12" spans="1:18" x14ac:dyDescent="0.3">
      <c r="A12" s="3" t="s">
        <v>17</v>
      </c>
      <c r="B12" s="3" t="s">
        <v>37</v>
      </c>
      <c r="C12" s="3" t="s">
        <v>38</v>
      </c>
      <c r="D12" s="3">
        <v>430</v>
      </c>
      <c r="E12" s="3">
        <v>27</v>
      </c>
      <c r="F12" s="3">
        <v>12</v>
      </c>
      <c r="G12" s="3">
        <v>30</v>
      </c>
      <c r="H12">
        <f>IFERROR(VALUE(LEFT(C12,FIND(" ",C12)-1)), "")</f>
        <v>4.0999999999999996</v>
      </c>
      <c r="I12" s="3">
        <v>1080</v>
      </c>
      <c r="J12" s="3">
        <v>11</v>
      </c>
      <c r="K12" s="3">
        <v>2</v>
      </c>
      <c r="L12" s="3">
        <v>6</v>
      </c>
      <c r="M12" s="3">
        <v>15</v>
      </c>
      <c r="N12" s="3">
        <v>34</v>
      </c>
      <c r="O12">
        <f t="shared" si="0"/>
        <v>-0.57229650820247058</v>
      </c>
      <c r="P12">
        <f t="shared" si="1"/>
        <v>-0.17611748841908673</v>
      </c>
      <c r="Q12">
        <f t="shared" si="2"/>
        <v>-0.94916303232571908</v>
      </c>
      <c r="R12">
        <f t="shared" si="3"/>
        <v>-0.33575464721926324</v>
      </c>
    </row>
    <row r="13" spans="1:18" x14ac:dyDescent="0.3">
      <c r="A13" s="3" t="s">
        <v>17</v>
      </c>
      <c r="B13" s="3" t="s">
        <v>39</v>
      </c>
      <c r="C13" s="3" t="s">
        <v>40</v>
      </c>
      <c r="D13" s="3">
        <v>480</v>
      </c>
      <c r="E13" s="3">
        <v>31</v>
      </c>
      <c r="F13" s="3">
        <v>13</v>
      </c>
      <c r="G13" s="3">
        <v>30</v>
      </c>
      <c r="H13">
        <f>IFERROR(VALUE(LEFT(C13,FIND(" ",C13)-1)), "")</f>
        <v>4.5999999999999996</v>
      </c>
      <c r="I13" s="3">
        <v>1190</v>
      </c>
      <c r="J13" s="3">
        <v>11</v>
      </c>
      <c r="K13" s="3">
        <v>3</v>
      </c>
      <c r="L13" s="3">
        <v>8</v>
      </c>
      <c r="M13" s="3">
        <v>15</v>
      </c>
      <c r="N13" s="3">
        <v>39</v>
      </c>
      <c r="O13">
        <f t="shared" si="0"/>
        <v>-0.37384011436154713</v>
      </c>
      <c r="P13">
        <f t="shared" si="1"/>
        <v>9.8463822767830361E-2</v>
      </c>
      <c r="Q13">
        <f t="shared" si="2"/>
        <v>-0.85923166043272237</v>
      </c>
      <c r="R13">
        <f t="shared" si="3"/>
        <v>-0.14338915994513055</v>
      </c>
    </row>
    <row r="14" spans="1:18" x14ac:dyDescent="0.3">
      <c r="A14" s="3" t="s">
        <v>17</v>
      </c>
      <c r="B14" s="3" t="s">
        <v>41</v>
      </c>
      <c r="C14" s="3" t="s">
        <v>42</v>
      </c>
      <c r="D14" s="3">
        <v>510</v>
      </c>
      <c r="E14" s="3">
        <v>33</v>
      </c>
      <c r="F14" s="3">
        <v>14</v>
      </c>
      <c r="G14" s="3">
        <v>250</v>
      </c>
      <c r="H14">
        <f>IFERROR(VALUE(LEFT(C14,FIND(" ",C14)-1)), "")</f>
        <v>5.7</v>
      </c>
      <c r="I14" s="3">
        <v>1170</v>
      </c>
      <c r="J14" s="3">
        <v>18</v>
      </c>
      <c r="K14" s="3">
        <v>2</v>
      </c>
      <c r="L14" s="3">
        <v>10</v>
      </c>
      <c r="M14" s="3">
        <v>20</v>
      </c>
      <c r="N14" s="3">
        <v>36</v>
      </c>
      <c r="O14">
        <f t="shared" si="0"/>
        <v>-0.25624718868404223</v>
      </c>
      <c r="P14">
        <f t="shared" si="1"/>
        <v>0.23661799074978096</v>
      </c>
      <c r="Q14">
        <f t="shared" si="2"/>
        <v>-1.0033601401053704</v>
      </c>
      <c r="R14">
        <f t="shared" si="3"/>
        <v>-0.18130048577369692</v>
      </c>
    </row>
    <row r="15" spans="1:18" x14ac:dyDescent="0.3">
      <c r="A15" s="3" t="s">
        <v>17</v>
      </c>
      <c r="B15" s="3" t="s">
        <v>43</v>
      </c>
      <c r="C15" s="3" t="s">
        <v>44</v>
      </c>
      <c r="D15" s="3">
        <v>570</v>
      </c>
      <c r="E15" s="3">
        <v>37</v>
      </c>
      <c r="F15" s="3">
        <v>15</v>
      </c>
      <c r="G15" s="3">
        <v>250</v>
      </c>
      <c r="H15">
        <f>IFERROR(VALUE(LEFT(C15,FIND(" ",C15)-1)), "")</f>
        <v>6.2</v>
      </c>
      <c r="I15" s="3">
        <v>1280</v>
      </c>
      <c r="J15" s="3">
        <v>18</v>
      </c>
      <c r="K15" s="3">
        <v>3</v>
      </c>
      <c r="L15" s="3">
        <v>10</v>
      </c>
      <c r="M15" s="3">
        <v>20</v>
      </c>
      <c r="N15" s="3">
        <v>42</v>
      </c>
      <c r="O15">
        <f t="shared" si="0"/>
        <v>-1.5514362080512571E-2</v>
      </c>
      <c r="P15">
        <f t="shared" si="1"/>
        <v>0.50958703123067117</v>
      </c>
      <c r="Q15">
        <f t="shared" si="2"/>
        <v>-0.91964065962000685</v>
      </c>
      <c r="R15">
        <f t="shared" si="3"/>
        <v>7.5246515594077652E-3</v>
      </c>
    </row>
    <row r="16" spans="1:18" x14ac:dyDescent="0.3">
      <c r="A16" s="3" t="s">
        <v>17</v>
      </c>
      <c r="B16" s="3" t="s">
        <v>45</v>
      </c>
      <c r="C16" s="3" t="s">
        <v>36</v>
      </c>
      <c r="D16" s="3">
        <v>460</v>
      </c>
      <c r="E16" s="3">
        <v>27</v>
      </c>
      <c r="F16" s="3">
        <v>12</v>
      </c>
      <c r="G16" s="3">
        <v>35</v>
      </c>
      <c r="H16">
        <f>IFERROR(VALUE(LEFT(C16,FIND(" ",C16)-1)), "")</f>
        <v>5.9</v>
      </c>
      <c r="I16" s="3">
        <v>1180</v>
      </c>
      <c r="J16" s="3">
        <v>18</v>
      </c>
      <c r="K16" s="3">
        <v>3</v>
      </c>
      <c r="L16" s="3">
        <v>8</v>
      </c>
      <c r="M16" s="3">
        <v>15</v>
      </c>
      <c r="N16" s="3">
        <v>34</v>
      </c>
      <c r="O16">
        <f t="shared" si="0"/>
        <v>-0.45788221053187389</v>
      </c>
      <c r="P16">
        <f t="shared" si="1"/>
        <v>-0.14209872912833146</v>
      </c>
      <c r="Q16">
        <f t="shared" si="2"/>
        <v>-0.95038192662298293</v>
      </c>
      <c r="R16">
        <f t="shared" si="3"/>
        <v>-0.16387797535692025</v>
      </c>
    </row>
    <row r="17" spans="1:18" x14ac:dyDescent="0.3">
      <c r="A17" s="3" t="s">
        <v>17</v>
      </c>
      <c r="B17" s="3" t="s">
        <v>46</v>
      </c>
      <c r="C17" s="3" t="s">
        <v>47</v>
      </c>
      <c r="D17" s="3">
        <v>520</v>
      </c>
      <c r="E17" s="3">
        <v>32</v>
      </c>
      <c r="F17" s="3">
        <v>13</v>
      </c>
      <c r="G17" s="3">
        <v>35</v>
      </c>
      <c r="H17">
        <f>IFERROR(VALUE(LEFT(C17,FIND(" ",C17)-1)), "")</f>
        <v>6.4</v>
      </c>
      <c r="I17" s="3">
        <v>1290</v>
      </c>
      <c r="J17" s="3">
        <v>18</v>
      </c>
      <c r="K17" s="3">
        <v>3</v>
      </c>
      <c r="L17" s="3">
        <v>8</v>
      </c>
      <c r="M17" s="3">
        <v>15</v>
      </c>
      <c r="N17" s="3">
        <v>40</v>
      </c>
      <c r="O17">
        <f t="shared" si="0"/>
        <v>-0.2303841577324881</v>
      </c>
      <c r="P17">
        <f t="shared" si="1"/>
        <v>0.18095050334420104</v>
      </c>
      <c r="Q17">
        <f t="shared" si="2"/>
        <v>-0.98442757550848192</v>
      </c>
      <c r="R17">
        <f t="shared" si="3"/>
        <v>1.8413317830557347E-2</v>
      </c>
    </row>
    <row r="18" spans="1:18" x14ac:dyDescent="0.3">
      <c r="A18" s="3" t="s">
        <v>17</v>
      </c>
      <c r="B18" s="3" t="s">
        <v>48</v>
      </c>
      <c r="C18" s="3" t="s">
        <v>49</v>
      </c>
      <c r="D18" s="3">
        <v>410</v>
      </c>
      <c r="E18" s="3">
        <v>20</v>
      </c>
      <c r="F18" s="3">
        <v>8</v>
      </c>
      <c r="G18" s="3">
        <v>30</v>
      </c>
      <c r="H18">
        <f>IFERROR(VALUE(LEFT(C18,FIND(" ",C18)-1)), "")</f>
        <v>5</v>
      </c>
      <c r="I18" s="3">
        <v>1180</v>
      </c>
      <c r="J18" s="3">
        <v>17</v>
      </c>
      <c r="K18" s="3">
        <v>3</v>
      </c>
      <c r="L18" s="3">
        <v>6</v>
      </c>
      <c r="M18" s="3">
        <v>15</v>
      </c>
      <c r="N18" s="3">
        <v>41</v>
      </c>
      <c r="O18">
        <f t="shared" si="0"/>
        <v>-0.66312535679542983</v>
      </c>
      <c r="P18">
        <f t="shared" si="1"/>
        <v>-0.5830633221647622</v>
      </c>
      <c r="Q18">
        <f t="shared" si="2"/>
        <v>-1.02241544067631</v>
      </c>
      <c r="R18">
        <f t="shared" si="3"/>
        <v>-0.1631531423641594</v>
      </c>
    </row>
    <row r="19" spans="1:18" x14ac:dyDescent="0.3">
      <c r="A19" s="3" t="s">
        <v>17</v>
      </c>
      <c r="B19" s="3" t="s">
        <v>50</v>
      </c>
      <c r="C19" s="3" t="s">
        <v>51</v>
      </c>
      <c r="D19" s="3">
        <v>470</v>
      </c>
      <c r="E19" s="3">
        <v>24</v>
      </c>
      <c r="F19" s="3">
        <v>9</v>
      </c>
      <c r="G19" s="3">
        <v>30</v>
      </c>
      <c r="H19">
        <f>IFERROR(VALUE(LEFT(C19,FIND(" ",C19)-1)), "")</f>
        <v>5.5</v>
      </c>
      <c r="I19" s="3">
        <v>1290</v>
      </c>
      <c r="J19" s="3">
        <v>17</v>
      </c>
      <c r="K19" s="3">
        <v>4</v>
      </c>
      <c r="L19" s="3">
        <v>8</v>
      </c>
      <c r="M19" s="3">
        <v>15</v>
      </c>
      <c r="N19" s="3">
        <v>46</v>
      </c>
      <c r="O19">
        <f t="shared" si="0"/>
        <v>-0.45126295289105417</v>
      </c>
      <c r="P19">
        <f t="shared" si="1"/>
        <v>-0.34608099807441794</v>
      </c>
      <c r="Q19">
        <f t="shared" si="2"/>
        <v>-0.94628959702998849</v>
      </c>
      <c r="R19">
        <f t="shared" si="3"/>
        <v>1.2006814577626177E-2</v>
      </c>
    </row>
    <row r="20" spans="1:18" x14ac:dyDescent="0.3">
      <c r="A20" s="3" t="s">
        <v>17</v>
      </c>
      <c r="B20" s="3" t="s">
        <v>52</v>
      </c>
      <c r="C20" s="3" t="s">
        <v>53</v>
      </c>
      <c r="D20" s="3">
        <v>540</v>
      </c>
      <c r="E20" s="3">
        <v>32</v>
      </c>
      <c r="F20" s="3">
        <v>16</v>
      </c>
      <c r="G20" s="3">
        <v>280</v>
      </c>
      <c r="H20">
        <f>IFERROR(VALUE(LEFT(C20,FIND(" ",C20)-1)), "")</f>
        <v>7.1</v>
      </c>
      <c r="I20" s="3">
        <v>1470</v>
      </c>
      <c r="J20" s="3">
        <v>25</v>
      </c>
      <c r="K20" s="3">
        <v>3</v>
      </c>
      <c r="L20" s="3">
        <v>20</v>
      </c>
      <c r="M20" s="3">
        <v>25</v>
      </c>
      <c r="N20" s="3">
        <v>38</v>
      </c>
      <c r="O20">
        <f t="shared" si="0"/>
        <v>-0.19732712879521166</v>
      </c>
      <c r="P20">
        <f t="shared" si="1"/>
        <v>0.14215778476974597</v>
      </c>
      <c r="Q20">
        <f t="shared" si="2"/>
        <v>-1.1030551614682562</v>
      </c>
      <c r="R20">
        <f t="shared" si="3"/>
        <v>0.29841218910865447</v>
      </c>
    </row>
    <row r="21" spans="1:18" x14ac:dyDescent="0.3">
      <c r="A21" s="3" t="s">
        <v>17</v>
      </c>
      <c r="B21" s="3" t="s">
        <v>54</v>
      </c>
      <c r="C21" s="3" t="s">
        <v>55</v>
      </c>
      <c r="D21" s="3">
        <v>460</v>
      </c>
      <c r="E21" s="3">
        <v>21</v>
      </c>
      <c r="F21" s="3">
        <v>9</v>
      </c>
      <c r="G21" s="3">
        <v>250</v>
      </c>
      <c r="H21">
        <f>IFERROR(VALUE(LEFT(C21,FIND(" ",C21)-1)), "")</f>
        <v>6.1</v>
      </c>
      <c r="I21" s="3">
        <v>1250</v>
      </c>
      <c r="J21" s="3">
        <v>19</v>
      </c>
      <c r="K21" s="3">
        <v>15</v>
      </c>
      <c r="L21" s="3">
        <v>20</v>
      </c>
      <c r="M21" s="3">
        <v>15</v>
      </c>
      <c r="N21" s="3">
        <v>48</v>
      </c>
      <c r="O21">
        <f t="shared" si="0"/>
        <v>-0.4987063502677383</v>
      </c>
      <c r="P21">
        <f t="shared" si="1"/>
        <v>-0.52300486670005808</v>
      </c>
      <c r="Q21">
        <f t="shared" si="2"/>
        <v>0.27517712452132204</v>
      </c>
      <c r="R21">
        <f t="shared" si="3"/>
        <v>-3.7626932725755895E-2</v>
      </c>
    </row>
    <row r="22" spans="1:18" x14ac:dyDescent="0.3">
      <c r="A22" s="3" t="s">
        <v>17</v>
      </c>
      <c r="B22" s="3" t="s">
        <v>56</v>
      </c>
      <c r="C22" s="3" t="s">
        <v>57</v>
      </c>
      <c r="D22" s="3">
        <v>400</v>
      </c>
      <c r="E22" s="3">
        <v>15</v>
      </c>
      <c r="F22" s="3">
        <v>7</v>
      </c>
      <c r="G22" s="3">
        <v>35</v>
      </c>
      <c r="H22">
        <f>IFERROR(VALUE(LEFT(C22,FIND(" ",C22)-1)), "")</f>
        <v>6.3</v>
      </c>
      <c r="I22" s="3">
        <v>1250</v>
      </c>
      <c r="J22" s="3">
        <v>20</v>
      </c>
      <c r="K22" s="3">
        <v>16</v>
      </c>
      <c r="L22" s="3">
        <v>15</v>
      </c>
      <c r="M22" s="3">
        <v>10</v>
      </c>
      <c r="N22" s="3">
        <v>47</v>
      </c>
      <c r="O22">
        <f t="shared" si="0"/>
        <v>-0.73189098416941045</v>
      </c>
      <c r="P22">
        <f t="shared" si="1"/>
        <v>-0.8968583450733576</v>
      </c>
      <c r="Q22">
        <f t="shared" si="2"/>
        <v>0.39884026327856492</v>
      </c>
      <c r="R22">
        <f t="shared" si="3"/>
        <v>-3.8473825354176476E-2</v>
      </c>
    </row>
    <row r="23" spans="1:18" x14ac:dyDescent="0.3">
      <c r="A23" s="3" t="s">
        <v>17</v>
      </c>
      <c r="B23" s="3" t="s">
        <v>58</v>
      </c>
      <c r="C23" s="3" t="s">
        <v>59</v>
      </c>
      <c r="D23" s="3">
        <v>420</v>
      </c>
      <c r="E23" s="3">
        <v>22</v>
      </c>
      <c r="F23" s="3">
        <v>8</v>
      </c>
      <c r="G23" s="3">
        <v>35</v>
      </c>
      <c r="H23">
        <f>IFERROR(VALUE(LEFT(C23,FIND(" ",C23)-1)), "")</f>
        <v>5</v>
      </c>
      <c r="I23" s="3">
        <v>1030</v>
      </c>
      <c r="J23" s="3">
        <v>11</v>
      </c>
      <c r="K23" s="3">
        <v>15</v>
      </c>
      <c r="L23" s="3">
        <v>8</v>
      </c>
      <c r="M23" s="3">
        <v>10</v>
      </c>
      <c r="N23" s="3">
        <v>44</v>
      </c>
      <c r="O23">
        <f t="shared" si="0"/>
        <v>-0.68658327423818299</v>
      </c>
      <c r="P23">
        <f t="shared" si="1"/>
        <v>-0.51909097542213178</v>
      </c>
      <c r="Q23">
        <f t="shared" si="2"/>
        <v>0.29504232430741922</v>
      </c>
      <c r="R23">
        <f t="shared" si="3"/>
        <v>-0.36719752050857168</v>
      </c>
    </row>
    <row r="24" spans="1:18" x14ac:dyDescent="0.3">
      <c r="A24" s="3" t="s">
        <v>17</v>
      </c>
      <c r="B24" s="3" t="s">
        <v>60</v>
      </c>
      <c r="C24" s="3" t="s">
        <v>53</v>
      </c>
      <c r="D24" s="3">
        <v>550</v>
      </c>
      <c r="E24" s="3">
        <v>31</v>
      </c>
      <c r="F24" s="3">
        <v>12</v>
      </c>
      <c r="G24" s="3">
        <v>265</v>
      </c>
      <c r="H24">
        <f>IFERROR(VALUE(LEFT(C24,FIND(" ",C24)-1)), "")</f>
        <v>7.1</v>
      </c>
      <c r="I24" s="3">
        <v>1320</v>
      </c>
      <c r="J24" s="3">
        <v>20</v>
      </c>
      <c r="K24" s="3">
        <v>15</v>
      </c>
      <c r="L24" s="3">
        <v>20</v>
      </c>
      <c r="M24" s="3">
        <v>15</v>
      </c>
      <c r="N24" s="3">
        <v>48</v>
      </c>
      <c r="O24">
        <f t="shared" si="0"/>
        <v>-0.24803283570784457</v>
      </c>
      <c r="P24">
        <f t="shared" si="1"/>
        <v>-8.7791759879497812E-3</v>
      </c>
      <c r="Q24">
        <f t="shared" si="2"/>
        <v>0.30298851470861776</v>
      </c>
      <c r="R24">
        <f t="shared" si="3"/>
        <v>4.5596651619241792E-2</v>
      </c>
    </row>
    <row r="25" spans="1:18" x14ac:dyDescent="0.3">
      <c r="A25" s="3" t="s">
        <v>17</v>
      </c>
      <c r="B25" s="3" t="s">
        <v>61</v>
      </c>
      <c r="C25" s="3" t="s">
        <v>62</v>
      </c>
      <c r="D25" s="3">
        <v>500</v>
      </c>
      <c r="E25" s="3">
        <v>26</v>
      </c>
      <c r="F25" s="3">
        <v>10</v>
      </c>
      <c r="G25" s="3">
        <v>50</v>
      </c>
      <c r="H25">
        <f>IFERROR(VALUE(LEFT(C25,FIND(" ",C25)-1)), "")</f>
        <v>7.2</v>
      </c>
      <c r="I25" s="3">
        <v>1320</v>
      </c>
      <c r="J25" s="3">
        <v>21</v>
      </c>
      <c r="K25" s="3">
        <v>15</v>
      </c>
      <c r="L25" s="3">
        <v>20</v>
      </c>
      <c r="M25" s="3">
        <v>10</v>
      </c>
      <c r="N25" s="3">
        <v>46</v>
      </c>
      <c r="O25">
        <f t="shared" si="0"/>
        <v>-0.42909423228889615</v>
      </c>
      <c r="P25">
        <f t="shared" si="1"/>
        <v>-0.29423725087487052</v>
      </c>
      <c r="Q25">
        <f t="shared" si="2"/>
        <v>0.3116133776058036</v>
      </c>
      <c r="R25">
        <f t="shared" si="3"/>
        <v>4.6783737189088855E-2</v>
      </c>
    </row>
    <row r="26" spans="1:18" x14ac:dyDescent="0.3">
      <c r="A26" s="3" t="s">
        <v>17</v>
      </c>
      <c r="B26" s="3" t="s">
        <v>63</v>
      </c>
      <c r="C26" s="3" t="s">
        <v>64</v>
      </c>
      <c r="D26" s="3">
        <v>620</v>
      </c>
      <c r="E26" s="3">
        <v>31</v>
      </c>
      <c r="F26" s="3">
        <v>11</v>
      </c>
      <c r="G26" s="3">
        <v>275</v>
      </c>
      <c r="H26">
        <f>IFERROR(VALUE(LEFT(C26,FIND(" ",C26)-1)), "")</f>
        <v>6.9</v>
      </c>
      <c r="I26" s="3">
        <v>1480</v>
      </c>
      <c r="J26" s="3">
        <v>30</v>
      </c>
      <c r="K26" s="3">
        <v>7</v>
      </c>
      <c r="L26" s="3">
        <v>20</v>
      </c>
      <c r="M26" s="3">
        <v>20</v>
      </c>
      <c r="N26" s="3">
        <v>57</v>
      </c>
      <c r="O26">
        <f t="shared" si="0"/>
        <v>-3.4086507708269757E-2</v>
      </c>
      <c r="P26">
        <f t="shared" si="1"/>
        <v>-2.4737115559826536E-2</v>
      </c>
      <c r="Q26">
        <f t="shared" si="2"/>
        <v>-0.53503228125481628</v>
      </c>
      <c r="R26">
        <f t="shared" si="3"/>
        <v>0.26956895177349899</v>
      </c>
    </row>
    <row r="27" spans="1:18" x14ac:dyDescent="0.3">
      <c r="A27" s="3" t="s">
        <v>17</v>
      </c>
      <c r="B27" s="3" t="s">
        <v>65</v>
      </c>
      <c r="C27" s="3" t="s">
        <v>53</v>
      </c>
      <c r="D27" s="3">
        <v>570</v>
      </c>
      <c r="E27" s="3">
        <v>25</v>
      </c>
      <c r="F27" s="3">
        <v>9</v>
      </c>
      <c r="G27" s="3">
        <v>60</v>
      </c>
      <c r="H27">
        <f>IFERROR(VALUE(LEFT(C27,FIND(" ",C27)-1)), "")</f>
        <v>7.1</v>
      </c>
      <c r="I27" s="3">
        <v>1480</v>
      </c>
      <c r="J27" s="3">
        <v>30</v>
      </c>
      <c r="K27" s="3">
        <v>8</v>
      </c>
      <c r="L27" s="3">
        <v>20</v>
      </c>
      <c r="M27" s="3">
        <v>15</v>
      </c>
      <c r="N27" s="3">
        <v>55</v>
      </c>
      <c r="O27">
        <f t="shared" si="0"/>
        <v>-0.2007122417622445</v>
      </c>
      <c r="P27">
        <f t="shared" si="1"/>
        <v>-0.35000267565051618</v>
      </c>
      <c r="Q27">
        <f t="shared" si="2"/>
        <v>-0.45035995009150021</v>
      </c>
      <c r="R27">
        <f t="shared" si="3"/>
        <v>0.27797891718352791</v>
      </c>
    </row>
    <row r="28" spans="1:18" x14ac:dyDescent="0.3">
      <c r="A28" s="3" t="s">
        <v>17</v>
      </c>
      <c r="B28" s="3" t="s">
        <v>66</v>
      </c>
      <c r="C28" s="3" t="s">
        <v>67</v>
      </c>
      <c r="D28" s="3">
        <v>670</v>
      </c>
      <c r="E28" s="3">
        <v>35</v>
      </c>
      <c r="F28" s="3">
        <v>13</v>
      </c>
      <c r="G28" s="3">
        <v>295</v>
      </c>
      <c r="H28">
        <f>IFERROR(VALUE(LEFT(C28,FIND(" ",C28)-1)), "")</f>
        <v>8.5</v>
      </c>
      <c r="I28" s="3">
        <v>1510</v>
      </c>
      <c r="J28" s="3">
        <v>33</v>
      </c>
      <c r="K28" s="3">
        <v>7</v>
      </c>
      <c r="L28" s="3">
        <v>25</v>
      </c>
      <c r="M28" s="3">
        <v>25</v>
      </c>
      <c r="N28" s="3">
        <v>56</v>
      </c>
      <c r="O28">
        <f t="shared" si="0"/>
        <v>0.11463662535528364</v>
      </c>
      <c r="P28">
        <f t="shared" si="1"/>
        <v>0.16461981495463116</v>
      </c>
      <c r="Q28">
        <f t="shared" si="2"/>
        <v>-0.5695890639949559</v>
      </c>
      <c r="R28">
        <f t="shared" si="3"/>
        <v>0.32656368542992215</v>
      </c>
    </row>
    <row r="29" spans="1:18" x14ac:dyDescent="0.3">
      <c r="A29" s="3" t="s">
        <v>17</v>
      </c>
      <c r="B29" s="3" t="s">
        <v>68</v>
      </c>
      <c r="C29" s="3" t="s">
        <v>69</v>
      </c>
      <c r="D29" s="3">
        <v>740</v>
      </c>
      <c r="E29" s="3">
        <v>48</v>
      </c>
      <c r="F29" s="3">
        <v>17</v>
      </c>
      <c r="G29" s="3">
        <v>555</v>
      </c>
      <c r="H29">
        <f>IFERROR(VALUE(LEFT(C29,FIND(" ",C29)-1)), "")</f>
        <v>9.5</v>
      </c>
      <c r="I29" s="3">
        <v>1560</v>
      </c>
      <c r="J29" s="3">
        <v>28</v>
      </c>
      <c r="K29" s="3">
        <v>3</v>
      </c>
      <c r="L29" s="3">
        <v>15</v>
      </c>
      <c r="M29" s="3">
        <v>25</v>
      </c>
      <c r="N29" s="3">
        <v>51</v>
      </c>
      <c r="O29">
        <f t="shared" si="0"/>
        <v>0.33664195518422541</v>
      </c>
      <c r="P29">
        <f t="shared" si="1"/>
        <v>0.83384477915182376</v>
      </c>
      <c r="Q29">
        <f t="shared" si="2"/>
        <v>-0.99568148525359579</v>
      </c>
      <c r="R29">
        <f t="shared" si="3"/>
        <v>0.40218257454195006</v>
      </c>
    </row>
    <row r="30" spans="1:18" x14ac:dyDescent="0.3">
      <c r="A30" s="3" t="s">
        <v>17</v>
      </c>
      <c r="B30" s="3" t="s">
        <v>70</v>
      </c>
      <c r="C30" s="3" t="s">
        <v>71</v>
      </c>
      <c r="D30" s="3">
        <v>800</v>
      </c>
      <c r="E30" s="3">
        <v>52</v>
      </c>
      <c r="F30" s="3">
        <v>18</v>
      </c>
      <c r="G30" s="3">
        <v>555</v>
      </c>
      <c r="H30">
        <f>IFERROR(VALUE(LEFT(C30,FIND(" ",C30)-1)), "")</f>
        <v>10</v>
      </c>
      <c r="I30" s="3">
        <v>1680</v>
      </c>
      <c r="J30" s="3">
        <v>28</v>
      </c>
      <c r="K30" s="3">
        <v>3</v>
      </c>
      <c r="L30" s="3">
        <v>15</v>
      </c>
      <c r="M30" s="3">
        <v>30</v>
      </c>
      <c r="N30" s="3">
        <v>56</v>
      </c>
      <c r="O30">
        <f t="shared" si="0"/>
        <v>0.53129395024143378</v>
      </c>
      <c r="P30">
        <f t="shared" si="1"/>
        <v>1.0877489291570679</v>
      </c>
      <c r="Q30">
        <f t="shared" si="2"/>
        <v>-1.0691791334292331</v>
      </c>
      <c r="R30">
        <f t="shared" si="3"/>
        <v>0.56728981131795719</v>
      </c>
    </row>
    <row r="31" spans="1:18" x14ac:dyDescent="0.3">
      <c r="A31" s="3" t="s">
        <v>17</v>
      </c>
      <c r="B31" s="3" t="s">
        <v>72</v>
      </c>
      <c r="C31" s="3" t="s">
        <v>73</v>
      </c>
      <c r="D31" s="3">
        <v>640</v>
      </c>
      <c r="E31" s="3">
        <v>37</v>
      </c>
      <c r="F31" s="3">
        <v>14</v>
      </c>
      <c r="G31" s="3">
        <v>35</v>
      </c>
      <c r="H31">
        <f>IFERROR(VALUE(LEFT(C31,FIND(" ",C31)-1)), "")</f>
        <v>9.6</v>
      </c>
      <c r="I31" s="3">
        <v>1590</v>
      </c>
      <c r="J31" s="3">
        <v>26</v>
      </c>
      <c r="K31" s="3">
        <v>3</v>
      </c>
      <c r="L31" s="3">
        <v>10</v>
      </c>
      <c r="M31" s="3">
        <v>15</v>
      </c>
      <c r="N31" s="3">
        <v>50</v>
      </c>
      <c r="O31">
        <f t="shared" si="0"/>
        <v>8.6107827762473291E-2</v>
      </c>
      <c r="P31">
        <f t="shared" si="1"/>
        <v>0.41694816583324462</v>
      </c>
      <c r="Q31">
        <f t="shared" si="2"/>
        <v>-1.1617955796402375</v>
      </c>
      <c r="R31">
        <f t="shared" si="3"/>
        <v>0.48740427904921158</v>
      </c>
    </row>
    <row r="32" spans="1:18" x14ac:dyDescent="0.3">
      <c r="A32" s="3" t="s">
        <v>17</v>
      </c>
      <c r="B32" s="3" t="s">
        <v>74</v>
      </c>
      <c r="C32" s="3" t="s">
        <v>75</v>
      </c>
      <c r="D32" s="3">
        <v>690</v>
      </c>
      <c r="E32" s="3">
        <v>41</v>
      </c>
      <c r="F32" s="3">
        <v>14</v>
      </c>
      <c r="G32" s="3">
        <v>35</v>
      </c>
      <c r="H32">
        <f>IFERROR(VALUE(LEFT(C32,FIND(" ",C32)-1)), "")</f>
        <v>10.1</v>
      </c>
      <c r="I32" s="3">
        <v>1700</v>
      </c>
      <c r="J32" s="3">
        <v>26</v>
      </c>
      <c r="K32" s="3">
        <v>4</v>
      </c>
      <c r="L32" s="3">
        <v>10</v>
      </c>
      <c r="M32" s="3">
        <v>15</v>
      </c>
      <c r="N32" s="3">
        <v>55</v>
      </c>
      <c r="O32">
        <f t="shared" si="0"/>
        <v>0.23120668026512708</v>
      </c>
      <c r="P32">
        <f t="shared" si="1"/>
        <v>0.6351068987514541</v>
      </c>
      <c r="Q32">
        <f t="shared" si="2"/>
        <v>-1.1802015487758175</v>
      </c>
      <c r="R32">
        <f t="shared" si="3"/>
        <v>0.64135959339287418</v>
      </c>
    </row>
    <row r="33" spans="1:18" x14ac:dyDescent="0.3">
      <c r="A33" s="3" t="s">
        <v>17</v>
      </c>
      <c r="B33" s="3" t="s">
        <v>76</v>
      </c>
      <c r="C33" s="3" t="s">
        <v>77</v>
      </c>
      <c r="D33" s="3">
        <v>1090</v>
      </c>
      <c r="E33" s="3">
        <v>56</v>
      </c>
      <c r="F33" s="3">
        <v>19</v>
      </c>
      <c r="G33" s="3">
        <v>575</v>
      </c>
      <c r="H33">
        <f>IFERROR(VALUE(LEFT(C33,FIND(" ",C33)-1)), "")</f>
        <v>14.8</v>
      </c>
      <c r="I33" s="3">
        <v>2150</v>
      </c>
      <c r="J33" s="3">
        <v>36</v>
      </c>
      <c r="K33" s="3">
        <v>17</v>
      </c>
      <c r="L33" s="3">
        <v>25</v>
      </c>
      <c r="M33" s="3">
        <v>40</v>
      </c>
      <c r="N33" s="3">
        <v>111</v>
      </c>
      <c r="O33">
        <f t="shared" si="0"/>
        <v>1.3289501728600448</v>
      </c>
      <c r="P33">
        <f t="shared" si="1"/>
        <v>1.399984866746296</v>
      </c>
      <c r="Q33">
        <f t="shared" si="2"/>
        <v>5.7767128687870151E-2</v>
      </c>
      <c r="R33">
        <f t="shared" si="3"/>
        <v>1.19757017651557</v>
      </c>
    </row>
    <row r="34" spans="1:18" x14ac:dyDescent="0.3">
      <c r="A34" s="3" t="s">
        <v>17</v>
      </c>
      <c r="B34" s="3" t="s">
        <v>78</v>
      </c>
      <c r="C34" s="3" t="s">
        <v>79</v>
      </c>
      <c r="D34" s="3">
        <v>1150</v>
      </c>
      <c r="E34" s="3">
        <v>60</v>
      </c>
      <c r="F34" s="3">
        <v>20</v>
      </c>
      <c r="G34" s="3">
        <v>575</v>
      </c>
      <c r="H34">
        <f>IFERROR(VALUE(LEFT(C34,FIND(" ",C34)-1)), "")</f>
        <v>15.3</v>
      </c>
      <c r="I34" s="3">
        <v>2260</v>
      </c>
      <c r="J34" s="3">
        <v>36</v>
      </c>
      <c r="K34" s="3">
        <v>17</v>
      </c>
      <c r="L34" s="3">
        <v>30</v>
      </c>
      <c r="M34" s="3">
        <v>40</v>
      </c>
      <c r="N34" s="3">
        <v>116</v>
      </c>
      <c r="O34">
        <f t="shared" si="0"/>
        <v>1.7073453676323822</v>
      </c>
      <c r="P34">
        <f t="shared" si="1"/>
        <v>1.8428682187718868</v>
      </c>
      <c r="Q34">
        <f t="shared" si="2"/>
        <v>6.0596787243508414E-2</v>
      </c>
      <c r="R34">
        <f t="shared" si="3"/>
        <v>1.4867433732506645</v>
      </c>
    </row>
    <row r="35" spans="1:18" x14ac:dyDescent="0.3">
      <c r="A35" s="3" t="s">
        <v>17</v>
      </c>
      <c r="B35" s="3" t="s">
        <v>80</v>
      </c>
      <c r="C35" s="3" t="s">
        <v>81</v>
      </c>
      <c r="D35" s="3">
        <v>990</v>
      </c>
      <c r="E35" s="3">
        <v>46</v>
      </c>
      <c r="F35" s="3">
        <v>16</v>
      </c>
      <c r="G35" s="3">
        <v>55</v>
      </c>
      <c r="H35">
        <f>IFERROR(VALUE(LEFT(C35,FIND(" ",C35)-1)), "")</f>
        <v>14.9</v>
      </c>
      <c r="I35" s="3">
        <v>2170</v>
      </c>
      <c r="J35" s="3">
        <v>35</v>
      </c>
      <c r="K35" s="3">
        <v>17</v>
      </c>
      <c r="L35" s="3">
        <v>25</v>
      </c>
      <c r="M35" s="3">
        <v>30</v>
      </c>
      <c r="N35" s="3">
        <v>110</v>
      </c>
      <c r="O35">
        <f t="shared" si="0"/>
        <v>1.6616775968779667</v>
      </c>
      <c r="P35">
        <f t="shared" si="1"/>
        <v>1.5977654150256486</v>
      </c>
      <c r="Q35">
        <f t="shared" si="2"/>
        <v>6.3887656499994103E-2</v>
      </c>
      <c r="R35">
        <f t="shared" si="3"/>
        <v>1.6884680252446809</v>
      </c>
    </row>
    <row r="36" spans="1:18" x14ac:dyDescent="0.3">
      <c r="A36" s="3" t="s">
        <v>17</v>
      </c>
      <c r="B36" s="3" t="s">
        <v>82</v>
      </c>
      <c r="C36" s="3" t="s">
        <v>83</v>
      </c>
      <c r="D36" s="3">
        <v>1050</v>
      </c>
      <c r="E36" s="3">
        <v>50</v>
      </c>
      <c r="F36" s="3">
        <v>16</v>
      </c>
      <c r="G36" s="3">
        <v>55</v>
      </c>
      <c r="H36">
        <f>IFERROR(VALUE(LEFT(C36,FIND(" ",C36)-1)), "")</f>
        <v>15.4</v>
      </c>
      <c r="I36" s="3">
        <v>2290</v>
      </c>
      <c r="J36" s="3">
        <v>35</v>
      </c>
      <c r="K36" s="3">
        <v>18</v>
      </c>
      <c r="L36" s="3">
        <v>25</v>
      </c>
      <c r="M36" s="3">
        <v>30</v>
      </c>
      <c r="N36" s="3">
        <v>115</v>
      </c>
      <c r="O36">
        <f t="shared" si="0"/>
        <v>2.4082348214725728</v>
      </c>
      <c r="P36">
        <f t="shared" si="1"/>
        <v>2.3358219152772914</v>
      </c>
      <c r="Q36">
        <f t="shared" si="2"/>
        <v>0.15815423362359887</v>
      </c>
      <c r="R36">
        <f t="shared" si="3"/>
        <v>2.4138166779504173</v>
      </c>
    </row>
    <row r="37" spans="1:18" x14ac:dyDescent="0.3">
      <c r="A37" s="3" t="s">
        <v>17</v>
      </c>
      <c r="B37" s="3" t="s">
        <v>84</v>
      </c>
      <c r="C37" s="3" t="s">
        <v>85</v>
      </c>
      <c r="D37" s="3">
        <v>350</v>
      </c>
      <c r="E37" s="3">
        <v>9</v>
      </c>
      <c r="F37" s="3">
        <v>2</v>
      </c>
      <c r="G37" s="3">
        <v>20</v>
      </c>
      <c r="H37">
        <f>IFERROR(VALUE(LEFT(C37,FIND(" ",C37)-1)), "")</f>
        <v>5.3</v>
      </c>
      <c r="I37" s="3">
        <v>590</v>
      </c>
      <c r="J37" s="3">
        <v>8</v>
      </c>
      <c r="K37" s="3">
        <v>14</v>
      </c>
      <c r="L37" s="3">
        <v>15</v>
      </c>
      <c r="M37" s="3">
        <v>15</v>
      </c>
      <c r="N37" s="3">
        <v>60</v>
      </c>
      <c r="O37">
        <f t="shared" si="0"/>
        <v>0.14861322138542118</v>
      </c>
      <c r="P37">
        <f t="shared" si="1"/>
        <v>-0.44141479464782035</v>
      </c>
      <c r="Q37">
        <f t="shared" si="2"/>
        <v>-0.16937687147353955</v>
      </c>
      <c r="R37">
        <f t="shared" si="3"/>
        <v>0.42707588116861162</v>
      </c>
    </row>
    <row r="38" spans="1:18" x14ac:dyDescent="0.3">
      <c r="A38" s="3" t="s">
        <v>17</v>
      </c>
      <c r="B38" s="3" t="s">
        <v>86</v>
      </c>
      <c r="C38" s="3" t="s">
        <v>87</v>
      </c>
      <c r="D38" s="3">
        <v>520</v>
      </c>
      <c r="E38" s="3">
        <v>24</v>
      </c>
      <c r="F38" s="3">
        <v>7</v>
      </c>
      <c r="G38" s="3">
        <v>50</v>
      </c>
      <c r="H38">
        <f>IFERROR(VALUE(LEFT(C38,FIND(" ",C38)-1)), "")</f>
        <v>6.8</v>
      </c>
      <c r="I38" s="3">
        <v>930</v>
      </c>
      <c r="J38" s="3">
        <v>15</v>
      </c>
      <c r="K38" s="3">
        <v>14</v>
      </c>
      <c r="L38" s="3">
        <v>15</v>
      </c>
      <c r="M38" s="3">
        <v>15</v>
      </c>
      <c r="N38" s="3">
        <v>61</v>
      </c>
      <c r="O38">
        <f t="shared" si="0"/>
        <v>1.5277603621438578</v>
      </c>
      <c r="P38">
        <f t="shared" si="1"/>
        <v>1.4982190074133879</v>
      </c>
      <c r="Q38">
        <f t="shared" si="2"/>
        <v>-0.18338688097178604</v>
      </c>
      <c r="R38">
        <f t="shared" si="3"/>
        <v>1.5733014219429324</v>
      </c>
    </row>
    <row r="39" spans="1:18" x14ac:dyDescent="0.3">
      <c r="A39" s="3" t="s">
        <v>17</v>
      </c>
      <c r="B39" s="3" t="s">
        <v>88</v>
      </c>
      <c r="C39" s="3" t="s">
        <v>23</v>
      </c>
      <c r="D39" s="3">
        <v>300</v>
      </c>
      <c r="E39" s="3">
        <v>16</v>
      </c>
      <c r="F39" s="3">
        <v>7</v>
      </c>
      <c r="G39" s="3">
        <v>115</v>
      </c>
      <c r="H39">
        <f>IFERROR(VALUE(LEFT(C39,FIND(" ",C39)-1)), "")</f>
        <v>3.9</v>
      </c>
      <c r="I39" s="3">
        <v>790</v>
      </c>
      <c r="J39" s="3">
        <v>12</v>
      </c>
      <c r="K39" s="3">
        <v>2</v>
      </c>
      <c r="L39" s="3">
        <v>15</v>
      </c>
      <c r="M39" s="3">
        <v>15</v>
      </c>
      <c r="N39" s="3">
        <v>26</v>
      </c>
      <c r="O39">
        <f t="shared" si="0"/>
        <v>8.0419273179924908E-2</v>
      </c>
      <c r="P39">
        <f t="shared" si="1"/>
        <v>0.91035852426729713</v>
      </c>
      <c r="Q39">
        <f t="shared" si="2"/>
        <v>-1.0654377248836775</v>
      </c>
      <c r="R39">
        <f t="shared" si="3"/>
        <v>1.8409550328221693</v>
      </c>
    </row>
    <row r="40" spans="1:18" x14ac:dyDescent="0.3">
      <c r="A40" s="3" t="s">
        <v>17</v>
      </c>
      <c r="B40" s="3" t="s">
        <v>89</v>
      </c>
      <c r="C40" s="3" t="s">
        <v>90</v>
      </c>
      <c r="D40" s="3">
        <v>150</v>
      </c>
      <c r="E40" s="3">
        <v>9</v>
      </c>
      <c r="F40" s="3">
        <v>1.5</v>
      </c>
      <c r="G40" s="3">
        <v>0</v>
      </c>
      <c r="H40">
        <f>IFERROR(VALUE(LEFT(C40,FIND(" ",C40)-1)), "")</f>
        <v>2</v>
      </c>
      <c r="I40" s="3">
        <v>310</v>
      </c>
      <c r="J40" s="3">
        <v>1</v>
      </c>
      <c r="K40" s="3">
        <v>0</v>
      </c>
      <c r="L40" s="3">
        <v>0</v>
      </c>
      <c r="M40" s="3">
        <v>2</v>
      </c>
      <c r="N40" s="3">
        <v>15</v>
      </c>
      <c r="O40">
        <f t="shared" si="0"/>
        <v>-1.2597795578643731</v>
      </c>
      <c r="P40">
        <f t="shared" si="1"/>
        <v>0</v>
      </c>
      <c r="Q40">
        <f t="shared" si="2"/>
        <v>-1.5597135066624936</v>
      </c>
      <c r="R40">
        <f t="shared" si="3"/>
        <v>0.68074564570501772</v>
      </c>
    </row>
    <row r="41" spans="1:18" x14ac:dyDescent="0.3">
      <c r="A41" s="3" t="s">
        <v>17</v>
      </c>
      <c r="B41" s="3" t="s">
        <v>91</v>
      </c>
      <c r="C41" s="3" t="s">
        <v>92</v>
      </c>
      <c r="D41" s="3">
        <v>460</v>
      </c>
      <c r="E41" s="3">
        <v>19</v>
      </c>
      <c r="F41" s="3">
        <v>9</v>
      </c>
      <c r="G41" s="3">
        <v>15</v>
      </c>
      <c r="H41">
        <f>IFERROR(VALUE(LEFT(C41,FIND(" ",C41)-1)), "")</f>
        <v>4</v>
      </c>
      <c r="I41" s="3">
        <v>370</v>
      </c>
      <c r="J41" s="3">
        <v>6</v>
      </c>
      <c r="K41" s="3">
        <v>32</v>
      </c>
      <c r="L41" s="3">
        <v>6</v>
      </c>
      <c r="M41" s="3">
        <v>15</v>
      </c>
      <c r="N41" s="3">
        <v>66</v>
      </c>
      <c r="O41">
        <f t="shared" si="0"/>
        <v>1.4004706535932592</v>
      </c>
      <c r="P41">
        <f t="shared" si="1"/>
        <v>1.4142135623730949</v>
      </c>
      <c r="Q41">
        <f t="shared" si="2"/>
        <v>0.70710678118654768</v>
      </c>
      <c r="R41">
        <f t="shared" si="3"/>
        <v>1.3947559390641275</v>
      </c>
    </row>
    <row r="42" spans="1:18" x14ac:dyDescent="0.3">
      <c r="A42" s="3" t="s">
        <v>17</v>
      </c>
      <c r="B42" s="3" t="s">
        <v>93</v>
      </c>
      <c r="C42" s="3" t="s">
        <v>94</v>
      </c>
      <c r="D42" s="3">
        <v>290</v>
      </c>
      <c r="E42" s="3">
        <v>4</v>
      </c>
      <c r="F42" s="3">
        <v>1.5</v>
      </c>
      <c r="G42" s="3">
        <v>5</v>
      </c>
      <c r="H42">
        <f>IFERROR(VALUE(LEFT(C42,FIND(" ",C42)-1)), "")</f>
        <v>9.6</v>
      </c>
      <c r="I42" s="3">
        <v>160</v>
      </c>
      <c r="J42" s="3">
        <v>5</v>
      </c>
      <c r="K42" s="3">
        <v>32</v>
      </c>
      <c r="L42" s="3">
        <v>10</v>
      </c>
      <c r="M42" s="3">
        <v>10</v>
      </c>
      <c r="N42" s="3">
        <v>58</v>
      </c>
      <c r="O42">
        <f t="shared" si="0"/>
        <v>1</v>
      </c>
      <c r="P42" t="e">
        <f t="shared" si="1"/>
        <v>#DIV/0!</v>
      </c>
      <c r="Q42">
        <f t="shared" si="2"/>
        <v>1</v>
      </c>
      <c r="R42">
        <f t="shared" si="3"/>
        <v>1</v>
      </c>
    </row>
    <row r="43" spans="1:18" x14ac:dyDescent="0.3">
      <c r="A43" s="3" t="s">
        <v>17</v>
      </c>
      <c r="B43" s="3" t="s">
        <v>95</v>
      </c>
      <c r="C43" s="3" t="s">
        <v>94</v>
      </c>
      <c r="D43" s="3">
        <v>260</v>
      </c>
      <c r="E43" s="3">
        <v>4</v>
      </c>
      <c r="F43" s="3">
        <v>1.5</v>
      </c>
      <c r="G43" s="3">
        <v>5</v>
      </c>
      <c r="H43">
        <f>IFERROR(VALUE(LEFT(C43,FIND(" ",C43)-1)), "")</f>
        <v>9.6</v>
      </c>
      <c r="I43" s="3">
        <v>115</v>
      </c>
      <c r="J43" s="3">
        <v>5</v>
      </c>
      <c r="K43" s="3">
        <v>18</v>
      </c>
      <c r="L43" s="3">
        <v>6</v>
      </c>
      <c r="M43" s="3">
        <v>10</v>
      </c>
      <c r="N43" s="3">
        <v>49</v>
      </c>
      <c r="O43" t="e">
        <f t="shared" si="0"/>
        <v>#DIV/0!</v>
      </c>
      <c r="P43" t="e">
        <f t="shared" si="1"/>
        <v>#DIV/0!</v>
      </c>
      <c r="Q43" t="e">
        <f t="shared" si="2"/>
        <v>#DIV/0!</v>
      </c>
      <c r="R43" t="e">
        <f t="shared" si="3"/>
        <v>#DIV/0!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D334-6046-4E11-838B-9A1E660497A8}">
  <dimension ref="A1:K261"/>
  <sheetViews>
    <sheetView tabSelected="1" zoomScale="47" zoomScaleNormal="71" workbookViewId="0">
      <selection activeCell="Y203" sqref="Y203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3</v>
      </c>
      <c r="D1" s="3" t="s">
        <v>5</v>
      </c>
      <c r="E1" s="3" t="s">
        <v>10</v>
      </c>
      <c r="F1" s="3" t="s">
        <v>11</v>
      </c>
      <c r="G1" s="3" t="s">
        <v>14</v>
      </c>
      <c r="H1" s="3" t="s">
        <v>13</v>
      </c>
      <c r="I1" s="3" t="s">
        <v>15</v>
      </c>
      <c r="J1" s="3" t="s">
        <v>16</v>
      </c>
      <c r="K1" s="3" t="s">
        <v>12</v>
      </c>
    </row>
    <row r="2" spans="1:11" x14ac:dyDescent="0.3">
      <c r="A2" s="3" t="s">
        <v>17</v>
      </c>
      <c r="B2" s="3" t="s">
        <v>18</v>
      </c>
      <c r="C2" s="3">
        <v>300</v>
      </c>
      <c r="D2" s="3">
        <v>13</v>
      </c>
      <c r="E2" s="3">
        <v>260</v>
      </c>
      <c r="F2" s="3">
        <v>750</v>
      </c>
      <c r="G2" s="3">
        <v>17</v>
      </c>
      <c r="H2" s="3">
        <v>3</v>
      </c>
      <c r="I2" s="3">
        <v>25</v>
      </c>
      <c r="J2" s="3">
        <v>15</v>
      </c>
      <c r="K2" s="3">
        <v>31</v>
      </c>
    </row>
    <row r="3" spans="1:11" x14ac:dyDescent="0.3">
      <c r="A3" s="3" t="s">
        <v>17</v>
      </c>
      <c r="B3" s="3" t="s">
        <v>20</v>
      </c>
      <c r="C3" s="3">
        <v>250</v>
      </c>
      <c r="D3" s="3">
        <v>8</v>
      </c>
      <c r="E3" s="3">
        <v>25</v>
      </c>
      <c r="F3" s="3">
        <v>770</v>
      </c>
      <c r="G3" s="3">
        <v>18</v>
      </c>
      <c r="H3" s="3">
        <v>3</v>
      </c>
      <c r="I3" s="3">
        <v>25</v>
      </c>
      <c r="J3" s="3">
        <v>8</v>
      </c>
      <c r="K3" s="3">
        <v>30</v>
      </c>
    </row>
    <row r="4" spans="1:11" x14ac:dyDescent="0.3">
      <c r="A4" s="3" t="s">
        <v>17</v>
      </c>
      <c r="B4" s="3" t="s">
        <v>22</v>
      </c>
      <c r="C4" s="3">
        <v>370</v>
      </c>
      <c r="D4" s="3">
        <v>23</v>
      </c>
      <c r="E4" s="3">
        <v>45</v>
      </c>
      <c r="F4" s="3">
        <v>780</v>
      </c>
      <c r="G4" s="3">
        <v>14</v>
      </c>
      <c r="H4" s="3">
        <v>2</v>
      </c>
      <c r="I4" s="3">
        <v>25</v>
      </c>
      <c r="J4" s="3">
        <v>10</v>
      </c>
      <c r="K4" s="3">
        <v>29</v>
      </c>
    </row>
    <row r="5" spans="1:11" x14ac:dyDescent="0.3">
      <c r="A5" s="3" t="s">
        <v>17</v>
      </c>
      <c r="B5" s="3" t="s">
        <v>24</v>
      </c>
      <c r="C5" s="3">
        <v>450</v>
      </c>
      <c r="D5" s="3">
        <v>28</v>
      </c>
      <c r="E5" s="3">
        <v>285</v>
      </c>
      <c r="F5" s="3">
        <v>860</v>
      </c>
      <c r="G5" s="3">
        <v>21</v>
      </c>
      <c r="H5" s="3">
        <v>2</v>
      </c>
      <c r="I5" s="3">
        <v>30</v>
      </c>
      <c r="J5" s="3">
        <v>15</v>
      </c>
      <c r="K5" s="3">
        <v>30</v>
      </c>
    </row>
    <row r="6" spans="1:11" x14ac:dyDescent="0.3">
      <c r="A6" s="3" t="s">
        <v>17</v>
      </c>
      <c r="B6" s="3" t="s">
        <v>26</v>
      </c>
      <c r="C6" s="3">
        <v>400</v>
      </c>
      <c r="D6" s="3">
        <v>23</v>
      </c>
      <c r="E6" s="3">
        <v>50</v>
      </c>
      <c r="F6" s="3">
        <v>880</v>
      </c>
      <c r="G6" s="3">
        <v>21</v>
      </c>
      <c r="H6" s="3">
        <v>2</v>
      </c>
      <c r="I6" s="3">
        <v>25</v>
      </c>
      <c r="J6" s="3">
        <v>10</v>
      </c>
      <c r="K6" s="3">
        <v>30</v>
      </c>
    </row>
    <row r="7" spans="1:11" x14ac:dyDescent="0.3">
      <c r="A7" s="3" t="s">
        <v>17</v>
      </c>
      <c r="B7" s="3" t="s">
        <v>27</v>
      </c>
      <c r="C7" s="3">
        <v>430</v>
      </c>
      <c r="D7" s="3">
        <v>23</v>
      </c>
      <c r="E7" s="3">
        <v>300</v>
      </c>
      <c r="F7" s="3">
        <v>960</v>
      </c>
      <c r="G7" s="3">
        <v>26</v>
      </c>
      <c r="H7" s="3">
        <v>3</v>
      </c>
      <c r="I7" s="3">
        <v>30</v>
      </c>
      <c r="J7" s="3">
        <v>20</v>
      </c>
      <c r="K7" s="3">
        <v>31</v>
      </c>
    </row>
    <row r="8" spans="1:11" x14ac:dyDescent="0.3">
      <c r="A8" s="3" t="s">
        <v>17</v>
      </c>
      <c r="B8" s="3" t="s">
        <v>29</v>
      </c>
      <c r="C8" s="3">
        <v>460</v>
      </c>
      <c r="D8" s="3">
        <v>26</v>
      </c>
      <c r="E8" s="3">
        <v>250</v>
      </c>
      <c r="F8" s="3">
        <v>1300</v>
      </c>
      <c r="G8" s="3">
        <v>19</v>
      </c>
      <c r="H8" s="3">
        <v>3</v>
      </c>
      <c r="I8" s="3">
        <v>15</v>
      </c>
      <c r="J8" s="3">
        <v>15</v>
      </c>
      <c r="K8" s="3">
        <v>38</v>
      </c>
    </row>
    <row r="9" spans="1:11" x14ac:dyDescent="0.3">
      <c r="A9" s="3" t="s">
        <v>17</v>
      </c>
      <c r="B9" s="3" t="s">
        <v>31</v>
      </c>
      <c r="C9" s="3">
        <v>520</v>
      </c>
      <c r="D9" s="3">
        <v>30</v>
      </c>
      <c r="E9" s="3">
        <v>250</v>
      </c>
      <c r="F9" s="3">
        <v>1410</v>
      </c>
      <c r="G9" s="3">
        <v>19</v>
      </c>
      <c r="H9" s="3">
        <v>4</v>
      </c>
      <c r="I9" s="3">
        <v>20</v>
      </c>
      <c r="J9" s="3">
        <v>20</v>
      </c>
      <c r="K9" s="3">
        <v>43</v>
      </c>
    </row>
    <row r="10" spans="1:11" x14ac:dyDescent="0.3">
      <c r="A10" s="3" t="s">
        <v>17</v>
      </c>
      <c r="B10" s="3" t="s">
        <v>33</v>
      </c>
      <c r="C10" s="3">
        <v>410</v>
      </c>
      <c r="D10" s="3">
        <v>20</v>
      </c>
      <c r="E10" s="3">
        <v>35</v>
      </c>
      <c r="F10" s="3">
        <v>1300</v>
      </c>
      <c r="G10" s="3">
        <v>20</v>
      </c>
      <c r="H10" s="3">
        <v>3</v>
      </c>
      <c r="I10" s="3">
        <v>15</v>
      </c>
      <c r="J10" s="3">
        <v>10</v>
      </c>
      <c r="K10" s="3">
        <v>36</v>
      </c>
    </row>
    <row r="11" spans="1:11" x14ac:dyDescent="0.3">
      <c r="A11" s="3" t="s">
        <v>17</v>
      </c>
      <c r="B11" s="3" t="s">
        <v>35</v>
      </c>
      <c r="C11" s="3">
        <v>470</v>
      </c>
      <c r="D11" s="3">
        <v>25</v>
      </c>
      <c r="E11" s="3">
        <v>35</v>
      </c>
      <c r="F11" s="3">
        <v>1420</v>
      </c>
      <c r="G11" s="3">
        <v>20</v>
      </c>
      <c r="H11" s="3">
        <v>4</v>
      </c>
      <c r="I11" s="3">
        <v>15</v>
      </c>
      <c r="J11" s="3">
        <v>15</v>
      </c>
      <c r="K11" s="3">
        <v>42</v>
      </c>
    </row>
    <row r="12" spans="1:11" x14ac:dyDescent="0.3">
      <c r="A12" s="3" t="s">
        <v>17</v>
      </c>
      <c r="B12" s="3" t="s">
        <v>37</v>
      </c>
      <c r="C12" s="3">
        <v>430</v>
      </c>
      <c r="D12" s="3">
        <v>27</v>
      </c>
      <c r="E12" s="3">
        <v>30</v>
      </c>
      <c r="F12" s="3">
        <v>1080</v>
      </c>
      <c r="G12" s="3">
        <v>11</v>
      </c>
      <c r="H12" s="3">
        <v>2</v>
      </c>
      <c r="I12" s="3">
        <v>6</v>
      </c>
      <c r="J12" s="3">
        <v>15</v>
      </c>
      <c r="K12" s="3">
        <v>34</v>
      </c>
    </row>
    <row r="13" spans="1:11" x14ac:dyDescent="0.3">
      <c r="A13" s="3" t="s">
        <v>17</v>
      </c>
      <c r="B13" s="3" t="s">
        <v>39</v>
      </c>
      <c r="C13" s="3">
        <v>480</v>
      </c>
      <c r="D13" s="3">
        <v>31</v>
      </c>
      <c r="E13" s="3">
        <v>30</v>
      </c>
      <c r="F13" s="3">
        <v>1190</v>
      </c>
      <c r="G13" s="3">
        <v>11</v>
      </c>
      <c r="H13" s="3">
        <v>3</v>
      </c>
      <c r="I13" s="3">
        <v>8</v>
      </c>
      <c r="J13" s="3">
        <v>15</v>
      </c>
      <c r="K13" s="3">
        <v>39</v>
      </c>
    </row>
    <row r="14" spans="1:11" x14ac:dyDescent="0.3">
      <c r="A14" s="3" t="s">
        <v>17</v>
      </c>
      <c r="B14" s="3" t="s">
        <v>41</v>
      </c>
      <c r="C14" s="3">
        <v>510</v>
      </c>
      <c r="D14" s="3">
        <v>33</v>
      </c>
      <c r="E14" s="3">
        <v>250</v>
      </c>
      <c r="F14" s="3">
        <v>1170</v>
      </c>
      <c r="G14" s="3">
        <v>18</v>
      </c>
      <c r="H14" s="3">
        <v>2</v>
      </c>
      <c r="I14" s="3">
        <v>10</v>
      </c>
      <c r="J14" s="3">
        <v>20</v>
      </c>
      <c r="K14" s="3">
        <v>36</v>
      </c>
    </row>
    <row r="15" spans="1:11" x14ac:dyDescent="0.3">
      <c r="A15" s="3" t="s">
        <v>17</v>
      </c>
      <c r="B15" s="3" t="s">
        <v>43</v>
      </c>
      <c r="C15" s="3">
        <v>570</v>
      </c>
      <c r="D15" s="3">
        <v>37</v>
      </c>
      <c r="E15" s="3">
        <v>250</v>
      </c>
      <c r="F15" s="3">
        <v>1280</v>
      </c>
      <c r="G15" s="3">
        <v>18</v>
      </c>
      <c r="H15" s="3">
        <v>3</v>
      </c>
      <c r="I15" s="3">
        <v>10</v>
      </c>
      <c r="J15" s="3">
        <v>20</v>
      </c>
      <c r="K15" s="3">
        <v>42</v>
      </c>
    </row>
    <row r="16" spans="1:11" x14ac:dyDescent="0.3">
      <c r="A16" s="3" t="s">
        <v>17</v>
      </c>
      <c r="B16" s="3" t="s">
        <v>45</v>
      </c>
      <c r="C16" s="3">
        <v>460</v>
      </c>
      <c r="D16" s="3">
        <v>27</v>
      </c>
      <c r="E16" s="3">
        <v>35</v>
      </c>
      <c r="F16" s="3">
        <v>1180</v>
      </c>
      <c r="G16" s="3">
        <v>18</v>
      </c>
      <c r="H16" s="3">
        <v>3</v>
      </c>
      <c r="I16" s="3">
        <v>8</v>
      </c>
      <c r="J16" s="3">
        <v>15</v>
      </c>
      <c r="K16" s="3">
        <v>34</v>
      </c>
    </row>
    <row r="17" spans="1:11" x14ac:dyDescent="0.3">
      <c r="A17" s="3" t="s">
        <v>17</v>
      </c>
      <c r="B17" s="3" t="s">
        <v>46</v>
      </c>
      <c r="C17" s="3">
        <v>520</v>
      </c>
      <c r="D17" s="3">
        <v>32</v>
      </c>
      <c r="E17" s="3">
        <v>35</v>
      </c>
      <c r="F17" s="3">
        <v>1290</v>
      </c>
      <c r="G17" s="3">
        <v>18</v>
      </c>
      <c r="H17" s="3">
        <v>3</v>
      </c>
      <c r="I17" s="3">
        <v>8</v>
      </c>
      <c r="J17" s="3">
        <v>15</v>
      </c>
      <c r="K17" s="3">
        <v>40</v>
      </c>
    </row>
    <row r="18" spans="1:11" x14ac:dyDescent="0.3">
      <c r="A18" s="3" t="s">
        <v>17</v>
      </c>
      <c r="B18" s="3" t="s">
        <v>48</v>
      </c>
      <c r="C18" s="3">
        <v>410</v>
      </c>
      <c r="D18" s="3">
        <v>20</v>
      </c>
      <c r="E18" s="3">
        <v>30</v>
      </c>
      <c r="F18" s="3">
        <v>1180</v>
      </c>
      <c r="G18" s="3">
        <v>17</v>
      </c>
      <c r="H18" s="3">
        <v>3</v>
      </c>
      <c r="I18" s="3">
        <v>6</v>
      </c>
      <c r="J18" s="3">
        <v>15</v>
      </c>
      <c r="K18" s="3">
        <v>41</v>
      </c>
    </row>
    <row r="19" spans="1:11" x14ac:dyDescent="0.3">
      <c r="A19" s="3" t="s">
        <v>17</v>
      </c>
      <c r="B19" s="3" t="s">
        <v>50</v>
      </c>
      <c r="C19" s="3">
        <v>470</v>
      </c>
      <c r="D19" s="3">
        <v>24</v>
      </c>
      <c r="E19" s="3">
        <v>30</v>
      </c>
      <c r="F19" s="3">
        <v>1290</v>
      </c>
      <c r="G19" s="3">
        <v>17</v>
      </c>
      <c r="H19" s="3">
        <v>4</v>
      </c>
      <c r="I19" s="3">
        <v>8</v>
      </c>
      <c r="J19" s="3">
        <v>15</v>
      </c>
      <c r="K19" s="3">
        <v>46</v>
      </c>
    </row>
    <row r="20" spans="1:11" x14ac:dyDescent="0.3">
      <c r="A20" s="3" t="s">
        <v>17</v>
      </c>
      <c r="B20" s="3" t="s">
        <v>52</v>
      </c>
      <c r="C20" s="3">
        <v>540</v>
      </c>
      <c r="D20" s="3">
        <v>32</v>
      </c>
      <c r="E20" s="3">
        <v>280</v>
      </c>
      <c r="F20" s="3">
        <v>1470</v>
      </c>
      <c r="G20" s="3">
        <v>25</v>
      </c>
      <c r="H20" s="3">
        <v>3</v>
      </c>
      <c r="I20" s="3">
        <v>20</v>
      </c>
      <c r="J20" s="3">
        <v>25</v>
      </c>
      <c r="K20" s="3">
        <v>38</v>
      </c>
    </row>
    <row r="21" spans="1:11" x14ac:dyDescent="0.3">
      <c r="A21" s="3" t="s">
        <v>17</v>
      </c>
      <c r="B21" s="3" t="s">
        <v>54</v>
      </c>
      <c r="C21" s="3">
        <v>460</v>
      </c>
      <c r="D21" s="3">
        <v>21</v>
      </c>
      <c r="E21" s="3">
        <v>250</v>
      </c>
      <c r="F21" s="3">
        <v>1250</v>
      </c>
      <c r="G21" s="3">
        <v>19</v>
      </c>
      <c r="H21" s="3">
        <v>15</v>
      </c>
      <c r="I21" s="3">
        <v>20</v>
      </c>
      <c r="J21" s="3">
        <v>15</v>
      </c>
      <c r="K21" s="3">
        <v>48</v>
      </c>
    </row>
    <row r="22" spans="1:11" x14ac:dyDescent="0.3">
      <c r="A22" s="3" t="s">
        <v>17</v>
      </c>
      <c r="B22" s="3" t="s">
        <v>56</v>
      </c>
      <c r="C22" s="3">
        <v>400</v>
      </c>
      <c r="D22" s="3">
        <v>15</v>
      </c>
      <c r="E22" s="3">
        <v>35</v>
      </c>
      <c r="F22" s="3">
        <v>1250</v>
      </c>
      <c r="G22" s="3">
        <v>20</v>
      </c>
      <c r="H22" s="3">
        <v>16</v>
      </c>
      <c r="I22" s="3">
        <v>15</v>
      </c>
      <c r="J22" s="3">
        <v>10</v>
      </c>
      <c r="K22" s="3">
        <v>47</v>
      </c>
    </row>
    <row r="23" spans="1:11" x14ac:dyDescent="0.3">
      <c r="A23" s="3" t="s">
        <v>17</v>
      </c>
      <c r="B23" s="3" t="s">
        <v>58</v>
      </c>
      <c r="C23" s="3">
        <v>420</v>
      </c>
      <c r="D23" s="3">
        <v>22</v>
      </c>
      <c r="E23" s="3">
        <v>35</v>
      </c>
      <c r="F23" s="3">
        <v>1030</v>
      </c>
      <c r="G23" s="3">
        <v>11</v>
      </c>
      <c r="H23" s="3">
        <v>15</v>
      </c>
      <c r="I23" s="3">
        <v>8</v>
      </c>
      <c r="J23" s="3">
        <v>10</v>
      </c>
      <c r="K23" s="3">
        <v>44</v>
      </c>
    </row>
    <row r="24" spans="1:11" x14ac:dyDescent="0.3">
      <c r="A24" s="3" t="s">
        <v>17</v>
      </c>
      <c r="B24" s="3" t="s">
        <v>60</v>
      </c>
      <c r="C24" s="3">
        <v>550</v>
      </c>
      <c r="D24" s="3">
        <v>31</v>
      </c>
      <c r="E24" s="3">
        <v>265</v>
      </c>
      <c r="F24" s="3">
        <v>1320</v>
      </c>
      <c r="G24" s="3">
        <v>20</v>
      </c>
      <c r="H24" s="3">
        <v>15</v>
      </c>
      <c r="I24" s="3">
        <v>20</v>
      </c>
      <c r="J24" s="3">
        <v>15</v>
      </c>
      <c r="K24" s="3">
        <v>48</v>
      </c>
    </row>
    <row r="25" spans="1:11" x14ac:dyDescent="0.3">
      <c r="A25" s="3" t="s">
        <v>17</v>
      </c>
      <c r="B25" s="3" t="s">
        <v>61</v>
      </c>
      <c r="C25" s="3">
        <v>500</v>
      </c>
      <c r="D25" s="3">
        <v>26</v>
      </c>
      <c r="E25" s="3">
        <v>50</v>
      </c>
      <c r="F25" s="3">
        <v>1320</v>
      </c>
      <c r="G25" s="3">
        <v>21</v>
      </c>
      <c r="H25" s="3">
        <v>15</v>
      </c>
      <c r="I25" s="3">
        <v>20</v>
      </c>
      <c r="J25" s="3">
        <v>10</v>
      </c>
      <c r="K25" s="3">
        <v>46</v>
      </c>
    </row>
    <row r="26" spans="1:11" x14ac:dyDescent="0.3">
      <c r="A26" s="3" t="s">
        <v>17</v>
      </c>
      <c r="B26" s="3" t="s">
        <v>63</v>
      </c>
      <c r="C26" s="3">
        <v>620</v>
      </c>
      <c r="D26" s="3">
        <v>31</v>
      </c>
      <c r="E26" s="3">
        <v>275</v>
      </c>
      <c r="F26" s="3">
        <v>1480</v>
      </c>
      <c r="G26" s="3">
        <v>30</v>
      </c>
      <c r="H26" s="3">
        <v>7</v>
      </c>
      <c r="I26" s="3">
        <v>20</v>
      </c>
      <c r="J26" s="3">
        <v>20</v>
      </c>
      <c r="K26" s="3">
        <v>57</v>
      </c>
    </row>
    <row r="27" spans="1:11" x14ac:dyDescent="0.3">
      <c r="A27" s="3" t="s">
        <v>17</v>
      </c>
      <c r="B27" s="3" t="s">
        <v>65</v>
      </c>
      <c r="C27" s="3">
        <v>570</v>
      </c>
      <c r="D27" s="3">
        <v>25</v>
      </c>
      <c r="E27" s="3">
        <v>60</v>
      </c>
      <c r="F27" s="3">
        <v>1480</v>
      </c>
      <c r="G27" s="3">
        <v>30</v>
      </c>
      <c r="H27" s="3">
        <v>8</v>
      </c>
      <c r="I27" s="3">
        <v>20</v>
      </c>
      <c r="J27" s="3">
        <v>15</v>
      </c>
      <c r="K27" s="3">
        <v>55</v>
      </c>
    </row>
    <row r="28" spans="1:11" x14ac:dyDescent="0.3">
      <c r="A28" s="3" t="s">
        <v>17</v>
      </c>
      <c r="B28" s="3" t="s">
        <v>66</v>
      </c>
      <c r="C28" s="3">
        <v>670</v>
      </c>
      <c r="D28" s="3">
        <v>35</v>
      </c>
      <c r="E28" s="3">
        <v>295</v>
      </c>
      <c r="F28" s="3">
        <v>1510</v>
      </c>
      <c r="G28" s="3">
        <v>33</v>
      </c>
      <c r="H28" s="3">
        <v>7</v>
      </c>
      <c r="I28" s="3">
        <v>25</v>
      </c>
      <c r="J28" s="3">
        <v>25</v>
      </c>
      <c r="K28" s="3">
        <v>56</v>
      </c>
    </row>
    <row r="29" spans="1:11" x14ac:dyDescent="0.3">
      <c r="A29" s="3" t="s">
        <v>17</v>
      </c>
      <c r="B29" s="3" t="s">
        <v>68</v>
      </c>
      <c r="C29" s="3">
        <v>740</v>
      </c>
      <c r="D29" s="3">
        <v>48</v>
      </c>
      <c r="E29" s="3">
        <v>555</v>
      </c>
      <c r="F29" s="3">
        <v>1560</v>
      </c>
      <c r="G29" s="3">
        <v>28</v>
      </c>
      <c r="H29" s="3">
        <v>3</v>
      </c>
      <c r="I29" s="3">
        <v>15</v>
      </c>
      <c r="J29" s="3">
        <v>25</v>
      </c>
      <c r="K29" s="3">
        <v>51</v>
      </c>
    </row>
    <row r="30" spans="1:11" x14ac:dyDescent="0.3">
      <c r="A30" s="3" t="s">
        <v>17</v>
      </c>
      <c r="B30" s="3" t="s">
        <v>70</v>
      </c>
      <c r="C30" s="3">
        <v>800</v>
      </c>
      <c r="D30" s="3">
        <v>52</v>
      </c>
      <c r="E30" s="3">
        <v>555</v>
      </c>
      <c r="F30" s="3">
        <v>1680</v>
      </c>
      <c r="G30" s="3">
        <v>28</v>
      </c>
      <c r="H30" s="3">
        <v>3</v>
      </c>
      <c r="I30" s="3">
        <v>15</v>
      </c>
      <c r="J30" s="3">
        <v>30</v>
      </c>
      <c r="K30" s="3">
        <v>56</v>
      </c>
    </row>
    <row r="31" spans="1:11" x14ac:dyDescent="0.3">
      <c r="A31" s="3" t="s">
        <v>17</v>
      </c>
      <c r="B31" s="3" t="s">
        <v>72</v>
      </c>
      <c r="C31" s="3">
        <v>640</v>
      </c>
      <c r="D31" s="3">
        <v>37</v>
      </c>
      <c r="E31" s="3">
        <v>35</v>
      </c>
      <c r="F31" s="3">
        <v>1590</v>
      </c>
      <c r="G31" s="3">
        <v>26</v>
      </c>
      <c r="H31" s="3">
        <v>3</v>
      </c>
      <c r="I31" s="3">
        <v>10</v>
      </c>
      <c r="J31" s="3">
        <v>15</v>
      </c>
      <c r="K31" s="3">
        <v>50</v>
      </c>
    </row>
    <row r="32" spans="1:11" x14ac:dyDescent="0.3">
      <c r="A32" s="3" t="s">
        <v>17</v>
      </c>
      <c r="B32" s="3" t="s">
        <v>74</v>
      </c>
      <c r="C32" s="3">
        <v>690</v>
      </c>
      <c r="D32" s="3">
        <v>41</v>
      </c>
      <c r="E32" s="3">
        <v>35</v>
      </c>
      <c r="F32" s="3">
        <v>1700</v>
      </c>
      <c r="G32" s="3">
        <v>26</v>
      </c>
      <c r="H32" s="3">
        <v>4</v>
      </c>
      <c r="I32" s="3">
        <v>10</v>
      </c>
      <c r="J32" s="3">
        <v>15</v>
      </c>
      <c r="K32" s="3">
        <v>55</v>
      </c>
    </row>
    <row r="33" spans="1:11" x14ac:dyDescent="0.3">
      <c r="A33" s="3" t="s">
        <v>17</v>
      </c>
      <c r="B33" s="3" t="s">
        <v>76</v>
      </c>
      <c r="C33" s="3">
        <v>1090</v>
      </c>
      <c r="D33" s="3">
        <v>56</v>
      </c>
      <c r="E33" s="3">
        <v>575</v>
      </c>
      <c r="F33" s="3">
        <v>2150</v>
      </c>
      <c r="G33" s="3">
        <v>36</v>
      </c>
      <c r="H33" s="3">
        <v>17</v>
      </c>
      <c r="I33" s="3">
        <v>25</v>
      </c>
      <c r="J33" s="3">
        <v>40</v>
      </c>
      <c r="K33" s="3">
        <v>111</v>
      </c>
    </row>
    <row r="34" spans="1:11" x14ac:dyDescent="0.3">
      <c r="A34" s="3" t="s">
        <v>17</v>
      </c>
      <c r="B34" s="3" t="s">
        <v>78</v>
      </c>
      <c r="C34" s="3">
        <v>1150</v>
      </c>
      <c r="D34" s="3">
        <v>60</v>
      </c>
      <c r="E34" s="3">
        <v>575</v>
      </c>
      <c r="F34" s="3">
        <v>2260</v>
      </c>
      <c r="G34" s="3">
        <v>36</v>
      </c>
      <c r="H34" s="3">
        <v>17</v>
      </c>
      <c r="I34" s="3">
        <v>30</v>
      </c>
      <c r="J34" s="3">
        <v>40</v>
      </c>
      <c r="K34" s="3">
        <v>116</v>
      </c>
    </row>
    <row r="35" spans="1:11" x14ac:dyDescent="0.3">
      <c r="A35" s="3" t="s">
        <v>17</v>
      </c>
      <c r="B35" s="3" t="s">
        <v>80</v>
      </c>
      <c r="C35" s="3">
        <v>990</v>
      </c>
      <c r="D35" s="3">
        <v>46</v>
      </c>
      <c r="E35" s="3">
        <v>55</v>
      </c>
      <c r="F35" s="3">
        <v>2170</v>
      </c>
      <c r="G35" s="3">
        <v>35</v>
      </c>
      <c r="H35" s="3">
        <v>17</v>
      </c>
      <c r="I35" s="3">
        <v>25</v>
      </c>
      <c r="J35" s="3">
        <v>30</v>
      </c>
      <c r="K35" s="3">
        <v>110</v>
      </c>
    </row>
    <row r="36" spans="1:11" x14ac:dyDescent="0.3">
      <c r="A36" s="3" t="s">
        <v>17</v>
      </c>
      <c r="B36" s="3" t="s">
        <v>82</v>
      </c>
      <c r="C36" s="3">
        <v>1050</v>
      </c>
      <c r="D36" s="3">
        <v>50</v>
      </c>
      <c r="E36" s="3">
        <v>55</v>
      </c>
      <c r="F36" s="3">
        <v>2290</v>
      </c>
      <c r="G36" s="3">
        <v>35</v>
      </c>
      <c r="H36" s="3">
        <v>18</v>
      </c>
      <c r="I36" s="3">
        <v>25</v>
      </c>
      <c r="J36" s="3">
        <v>30</v>
      </c>
      <c r="K36" s="3">
        <v>115</v>
      </c>
    </row>
    <row r="37" spans="1:11" x14ac:dyDescent="0.3">
      <c r="A37" s="3" t="s">
        <v>17</v>
      </c>
      <c r="B37" s="3" t="s">
        <v>84</v>
      </c>
      <c r="C37" s="3">
        <v>350</v>
      </c>
      <c r="D37" s="3">
        <v>9</v>
      </c>
      <c r="E37" s="3">
        <v>20</v>
      </c>
      <c r="F37" s="3">
        <v>590</v>
      </c>
      <c r="G37" s="3">
        <v>8</v>
      </c>
      <c r="H37" s="3">
        <v>14</v>
      </c>
      <c r="I37" s="3">
        <v>15</v>
      </c>
      <c r="J37" s="3">
        <v>15</v>
      </c>
      <c r="K37" s="3">
        <v>60</v>
      </c>
    </row>
    <row r="38" spans="1:11" x14ac:dyDescent="0.3">
      <c r="A38" s="3" t="s">
        <v>17</v>
      </c>
      <c r="B38" s="3" t="s">
        <v>86</v>
      </c>
      <c r="C38" s="3">
        <v>520</v>
      </c>
      <c r="D38" s="3">
        <v>24</v>
      </c>
      <c r="E38" s="3">
        <v>50</v>
      </c>
      <c r="F38" s="3">
        <v>930</v>
      </c>
      <c r="G38" s="3">
        <v>15</v>
      </c>
      <c r="H38" s="3">
        <v>14</v>
      </c>
      <c r="I38" s="3">
        <v>15</v>
      </c>
      <c r="J38" s="3">
        <v>15</v>
      </c>
      <c r="K38" s="3">
        <v>61</v>
      </c>
    </row>
    <row r="39" spans="1:11" x14ac:dyDescent="0.3">
      <c r="A39" s="3" t="s">
        <v>17</v>
      </c>
      <c r="B39" s="3" t="s">
        <v>88</v>
      </c>
      <c r="C39" s="3">
        <v>300</v>
      </c>
      <c r="D39" s="3">
        <v>16</v>
      </c>
      <c r="E39" s="3">
        <v>115</v>
      </c>
      <c r="F39" s="3">
        <v>790</v>
      </c>
      <c r="G39" s="3">
        <v>12</v>
      </c>
      <c r="H39" s="3">
        <v>2</v>
      </c>
      <c r="I39" s="3">
        <v>15</v>
      </c>
      <c r="J39" s="3">
        <v>15</v>
      </c>
      <c r="K39" s="3">
        <v>26</v>
      </c>
    </row>
    <row r="40" spans="1:11" x14ac:dyDescent="0.3">
      <c r="A40" s="3" t="s">
        <v>17</v>
      </c>
      <c r="B40" s="3" t="s">
        <v>89</v>
      </c>
      <c r="C40" s="3">
        <v>150</v>
      </c>
      <c r="D40" s="3">
        <v>9</v>
      </c>
      <c r="E40" s="3">
        <v>0</v>
      </c>
      <c r="F40" s="3">
        <v>310</v>
      </c>
      <c r="G40" s="3">
        <v>1</v>
      </c>
      <c r="H40" s="3">
        <v>0</v>
      </c>
      <c r="I40" s="3">
        <v>0</v>
      </c>
      <c r="J40" s="3">
        <v>2</v>
      </c>
      <c r="K40" s="3">
        <v>15</v>
      </c>
    </row>
    <row r="41" spans="1:11" x14ac:dyDescent="0.3">
      <c r="A41" s="3" t="s">
        <v>17</v>
      </c>
      <c r="B41" s="3" t="s">
        <v>91</v>
      </c>
      <c r="C41" s="3">
        <v>460</v>
      </c>
      <c r="D41" s="3">
        <v>19</v>
      </c>
      <c r="E41" s="3">
        <v>15</v>
      </c>
      <c r="F41" s="3">
        <v>370</v>
      </c>
      <c r="G41" s="3">
        <v>6</v>
      </c>
      <c r="H41" s="3">
        <v>32</v>
      </c>
      <c r="I41" s="3">
        <v>6</v>
      </c>
      <c r="J41" s="3">
        <v>15</v>
      </c>
      <c r="K41" s="3">
        <v>66</v>
      </c>
    </row>
    <row r="42" spans="1:11" x14ac:dyDescent="0.3">
      <c r="A42" s="3" t="s">
        <v>17</v>
      </c>
      <c r="B42" s="3" t="s">
        <v>93</v>
      </c>
      <c r="C42" s="3">
        <v>290</v>
      </c>
      <c r="D42" s="3">
        <v>4</v>
      </c>
      <c r="E42" s="3">
        <v>5</v>
      </c>
      <c r="F42" s="3">
        <v>160</v>
      </c>
      <c r="G42" s="3">
        <v>5</v>
      </c>
      <c r="H42" s="3">
        <v>32</v>
      </c>
      <c r="I42" s="3">
        <v>10</v>
      </c>
      <c r="J42" s="3">
        <v>10</v>
      </c>
      <c r="K42" s="3">
        <v>58</v>
      </c>
    </row>
    <row r="43" spans="1:11" x14ac:dyDescent="0.3">
      <c r="A43" s="3" t="s">
        <v>17</v>
      </c>
      <c r="B43" s="3" t="s">
        <v>95</v>
      </c>
      <c r="C43" s="3">
        <v>260</v>
      </c>
      <c r="D43" s="3">
        <v>4</v>
      </c>
      <c r="E43" s="3">
        <v>5</v>
      </c>
      <c r="F43" s="3">
        <v>115</v>
      </c>
      <c r="G43" s="3">
        <v>5</v>
      </c>
      <c r="H43" s="3">
        <v>18</v>
      </c>
      <c r="I43" s="3">
        <v>6</v>
      </c>
      <c r="J43" s="3">
        <v>10</v>
      </c>
      <c r="K43" s="3">
        <v>49</v>
      </c>
    </row>
    <row r="44" spans="1:11" x14ac:dyDescent="0.3">
      <c r="A44" s="3" t="s">
        <v>96</v>
      </c>
      <c r="B44" s="3" t="s">
        <v>97</v>
      </c>
      <c r="C44" s="3">
        <v>530</v>
      </c>
      <c r="D44" s="3">
        <v>27</v>
      </c>
      <c r="E44" s="3">
        <v>85</v>
      </c>
      <c r="F44" s="3">
        <v>960</v>
      </c>
      <c r="G44" s="3">
        <v>24</v>
      </c>
      <c r="H44" s="3">
        <v>9</v>
      </c>
      <c r="I44" s="3">
        <v>25</v>
      </c>
      <c r="J44" s="3">
        <v>25</v>
      </c>
      <c r="K44" s="3">
        <v>47</v>
      </c>
    </row>
    <row r="45" spans="1:11" x14ac:dyDescent="0.3">
      <c r="A45" s="3" t="s">
        <v>96</v>
      </c>
      <c r="B45" s="3" t="s">
        <v>99</v>
      </c>
      <c r="C45" s="3">
        <v>520</v>
      </c>
      <c r="D45" s="3">
        <v>26</v>
      </c>
      <c r="E45" s="3">
        <v>95</v>
      </c>
      <c r="F45" s="3">
        <v>1100</v>
      </c>
      <c r="G45" s="3">
        <v>30</v>
      </c>
      <c r="H45" s="3">
        <v>10</v>
      </c>
      <c r="I45" s="3">
        <v>30</v>
      </c>
      <c r="J45" s="3">
        <v>25</v>
      </c>
      <c r="K45" s="3">
        <v>41</v>
      </c>
    </row>
    <row r="46" spans="1:11" x14ac:dyDescent="0.3">
      <c r="A46" s="3" t="s">
        <v>96</v>
      </c>
      <c r="B46" s="3" t="s">
        <v>101</v>
      </c>
      <c r="C46" s="3">
        <v>600</v>
      </c>
      <c r="D46" s="3">
        <v>29</v>
      </c>
      <c r="E46" s="3">
        <v>105</v>
      </c>
      <c r="F46" s="3">
        <v>1440</v>
      </c>
      <c r="G46" s="3">
        <v>37</v>
      </c>
      <c r="H46" s="3">
        <v>12</v>
      </c>
      <c r="I46" s="3">
        <v>25</v>
      </c>
      <c r="J46" s="3">
        <v>30</v>
      </c>
      <c r="K46" s="3">
        <v>48</v>
      </c>
    </row>
    <row r="47" spans="1:11" x14ac:dyDescent="0.3">
      <c r="A47" s="3" t="s">
        <v>96</v>
      </c>
      <c r="B47" s="3" t="s">
        <v>103</v>
      </c>
      <c r="C47" s="3">
        <v>610</v>
      </c>
      <c r="D47" s="3">
        <v>31</v>
      </c>
      <c r="E47" s="3">
        <v>105</v>
      </c>
      <c r="F47" s="3">
        <v>1180</v>
      </c>
      <c r="G47" s="3">
        <v>37</v>
      </c>
      <c r="H47" s="3">
        <v>10</v>
      </c>
      <c r="I47" s="3">
        <v>25</v>
      </c>
      <c r="J47" s="3">
        <v>30</v>
      </c>
      <c r="K47" s="3">
        <v>46</v>
      </c>
    </row>
    <row r="48" spans="1:11" x14ac:dyDescent="0.3">
      <c r="A48" s="3" t="s">
        <v>96</v>
      </c>
      <c r="B48" s="3" t="s">
        <v>105</v>
      </c>
      <c r="C48" s="3">
        <v>540</v>
      </c>
      <c r="D48" s="3">
        <v>27</v>
      </c>
      <c r="E48" s="3">
        <v>85</v>
      </c>
      <c r="F48" s="3">
        <v>960</v>
      </c>
      <c r="G48" s="3">
        <v>29</v>
      </c>
      <c r="H48" s="3">
        <v>9</v>
      </c>
      <c r="I48" s="3">
        <v>25</v>
      </c>
      <c r="J48" s="3">
        <v>30</v>
      </c>
      <c r="K48" s="3">
        <v>45</v>
      </c>
    </row>
    <row r="49" spans="1:11" x14ac:dyDescent="0.3">
      <c r="A49" s="3" t="s">
        <v>96</v>
      </c>
      <c r="B49" s="3" t="s">
        <v>107</v>
      </c>
      <c r="C49" s="3">
        <v>750</v>
      </c>
      <c r="D49" s="3">
        <v>43</v>
      </c>
      <c r="E49" s="3">
        <v>160</v>
      </c>
      <c r="F49" s="3">
        <v>1280</v>
      </c>
      <c r="G49" s="3">
        <v>48</v>
      </c>
      <c r="H49" s="3">
        <v>10</v>
      </c>
      <c r="I49" s="3">
        <v>30</v>
      </c>
      <c r="J49" s="3">
        <v>35</v>
      </c>
      <c r="K49" s="3">
        <v>42</v>
      </c>
    </row>
    <row r="50" spans="1:11" x14ac:dyDescent="0.3">
      <c r="A50" s="3" t="s">
        <v>96</v>
      </c>
      <c r="B50" s="3" t="s">
        <v>108</v>
      </c>
      <c r="C50" s="3">
        <v>240</v>
      </c>
      <c r="D50" s="3">
        <v>8</v>
      </c>
      <c r="E50" s="3">
        <v>30</v>
      </c>
      <c r="F50" s="3">
        <v>480</v>
      </c>
      <c r="G50" s="3">
        <v>12</v>
      </c>
      <c r="H50" s="3">
        <v>6</v>
      </c>
      <c r="I50" s="3">
        <v>10</v>
      </c>
      <c r="J50" s="3">
        <v>15</v>
      </c>
      <c r="K50" s="3">
        <v>32</v>
      </c>
    </row>
    <row r="51" spans="1:11" x14ac:dyDescent="0.3">
      <c r="A51" s="3" t="s">
        <v>96</v>
      </c>
      <c r="B51" s="3" t="s">
        <v>110</v>
      </c>
      <c r="C51" s="3">
        <v>290</v>
      </c>
      <c r="D51" s="3">
        <v>11</v>
      </c>
      <c r="E51" s="3">
        <v>45</v>
      </c>
      <c r="F51" s="3">
        <v>680</v>
      </c>
      <c r="G51" s="3">
        <v>15</v>
      </c>
      <c r="H51" s="3">
        <v>7</v>
      </c>
      <c r="I51" s="3">
        <v>20</v>
      </c>
      <c r="J51" s="3">
        <v>15</v>
      </c>
      <c r="K51" s="3">
        <v>33</v>
      </c>
    </row>
    <row r="52" spans="1:11" x14ac:dyDescent="0.3">
      <c r="A52" s="3" t="s">
        <v>96</v>
      </c>
      <c r="B52" s="3" t="s">
        <v>112</v>
      </c>
      <c r="C52" s="3">
        <v>430</v>
      </c>
      <c r="D52" s="3">
        <v>21</v>
      </c>
      <c r="E52" s="3">
        <v>90</v>
      </c>
      <c r="F52" s="3">
        <v>1040</v>
      </c>
      <c r="G52" s="3">
        <v>24</v>
      </c>
      <c r="H52" s="3">
        <v>7</v>
      </c>
      <c r="I52" s="3">
        <v>30</v>
      </c>
      <c r="J52" s="3">
        <v>20</v>
      </c>
      <c r="K52" s="3">
        <v>35</v>
      </c>
    </row>
    <row r="53" spans="1:11" x14ac:dyDescent="0.3">
      <c r="A53" s="3" t="s">
        <v>96</v>
      </c>
      <c r="B53" s="3" t="s">
        <v>113</v>
      </c>
      <c r="C53" s="3">
        <v>720</v>
      </c>
      <c r="D53" s="3">
        <v>40</v>
      </c>
      <c r="E53" s="3">
        <v>115</v>
      </c>
      <c r="F53" s="3">
        <v>1470</v>
      </c>
      <c r="G53" s="3">
        <v>39</v>
      </c>
      <c r="H53" s="3">
        <v>14</v>
      </c>
      <c r="I53" s="3">
        <v>30</v>
      </c>
      <c r="J53" s="3">
        <v>25</v>
      </c>
      <c r="K53" s="3">
        <v>51</v>
      </c>
    </row>
    <row r="54" spans="1:11" x14ac:dyDescent="0.3">
      <c r="A54" s="3" t="s">
        <v>96</v>
      </c>
      <c r="B54" s="3" t="s">
        <v>115</v>
      </c>
      <c r="C54" s="3">
        <v>380</v>
      </c>
      <c r="D54" s="3">
        <v>17</v>
      </c>
      <c r="E54" s="3">
        <v>75</v>
      </c>
      <c r="F54" s="3">
        <v>840</v>
      </c>
      <c r="G54" s="3">
        <v>22</v>
      </c>
      <c r="H54" s="3">
        <v>7</v>
      </c>
      <c r="I54" s="3">
        <v>20</v>
      </c>
      <c r="J54" s="3">
        <v>20</v>
      </c>
      <c r="K54" s="3">
        <v>34</v>
      </c>
    </row>
    <row r="55" spans="1:11" x14ac:dyDescent="0.3">
      <c r="A55" s="3" t="s">
        <v>96</v>
      </c>
      <c r="B55" s="3" t="s">
        <v>117</v>
      </c>
      <c r="C55" s="3">
        <v>440</v>
      </c>
      <c r="D55" s="3">
        <v>22</v>
      </c>
      <c r="E55" s="3">
        <v>90</v>
      </c>
      <c r="F55" s="3">
        <v>1110</v>
      </c>
      <c r="G55" s="3">
        <v>27</v>
      </c>
      <c r="H55" s="3">
        <v>7</v>
      </c>
      <c r="I55" s="3">
        <v>20</v>
      </c>
      <c r="J55" s="3">
        <v>20</v>
      </c>
      <c r="K55" s="3">
        <v>35</v>
      </c>
    </row>
    <row r="56" spans="1:11" x14ac:dyDescent="0.3">
      <c r="A56" s="3" t="s">
        <v>96</v>
      </c>
      <c r="B56" s="3" t="s">
        <v>118</v>
      </c>
      <c r="C56" s="3">
        <v>430</v>
      </c>
      <c r="D56" s="3">
        <v>22</v>
      </c>
      <c r="E56" s="3">
        <v>80</v>
      </c>
      <c r="F56" s="3">
        <v>760</v>
      </c>
      <c r="G56" s="3">
        <v>22</v>
      </c>
      <c r="H56" s="3">
        <v>7</v>
      </c>
      <c r="I56" s="3">
        <v>20</v>
      </c>
      <c r="J56" s="3">
        <v>20</v>
      </c>
      <c r="K56" s="3">
        <v>34</v>
      </c>
    </row>
    <row r="57" spans="1:11" x14ac:dyDescent="0.3">
      <c r="A57" s="3" t="s">
        <v>96</v>
      </c>
      <c r="B57" s="3" t="s">
        <v>120</v>
      </c>
      <c r="C57" s="3">
        <v>430</v>
      </c>
      <c r="D57" s="3">
        <v>23</v>
      </c>
      <c r="E57" s="3">
        <v>80</v>
      </c>
      <c r="F57" s="3">
        <v>1030</v>
      </c>
      <c r="G57" s="3">
        <v>22</v>
      </c>
      <c r="H57" s="3">
        <v>6</v>
      </c>
      <c r="I57" s="3">
        <v>20</v>
      </c>
      <c r="J57" s="3">
        <v>20</v>
      </c>
      <c r="K57" s="3">
        <v>35</v>
      </c>
    </row>
    <row r="58" spans="1:11" x14ac:dyDescent="0.3">
      <c r="A58" s="3" t="s">
        <v>96</v>
      </c>
      <c r="B58" s="3" t="s">
        <v>122</v>
      </c>
      <c r="C58" s="3">
        <v>500</v>
      </c>
      <c r="D58" s="3">
        <v>26</v>
      </c>
      <c r="E58" s="3">
        <v>70</v>
      </c>
      <c r="F58" s="3">
        <v>980</v>
      </c>
      <c r="G58" s="3">
        <v>22</v>
      </c>
      <c r="H58" s="3">
        <v>11</v>
      </c>
      <c r="I58" s="3">
        <v>15</v>
      </c>
      <c r="J58" s="3">
        <v>20</v>
      </c>
      <c r="K58" s="3">
        <v>44</v>
      </c>
    </row>
    <row r="59" spans="1:11" x14ac:dyDescent="0.3">
      <c r="A59" s="3" t="s">
        <v>124</v>
      </c>
      <c r="B59" s="3" t="s">
        <v>125</v>
      </c>
      <c r="C59" s="3">
        <v>510</v>
      </c>
      <c r="D59" s="3">
        <v>22</v>
      </c>
      <c r="E59" s="3">
        <v>45</v>
      </c>
      <c r="F59" s="3">
        <v>990</v>
      </c>
      <c r="G59" s="3">
        <v>24</v>
      </c>
      <c r="H59" s="3">
        <v>10</v>
      </c>
      <c r="I59" s="3">
        <v>15</v>
      </c>
      <c r="J59" s="3">
        <v>20</v>
      </c>
      <c r="K59" s="3">
        <v>55</v>
      </c>
    </row>
    <row r="60" spans="1:11" x14ac:dyDescent="0.3">
      <c r="A60" s="3" t="s">
        <v>124</v>
      </c>
      <c r="B60" s="3" t="s">
        <v>127</v>
      </c>
      <c r="C60" s="3">
        <v>350</v>
      </c>
      <c r="D60" s="3">
        <v>9</v>
      </c>
      <c r="E60" s="3">
        <v>65</v>
      </c>
      <c r="F60" s="3">
        <v>820</v>
      </c>
      <c r="G60" s="3">
        <v>28</v>
      </c>
      <c r="H60" s="3">
        <v>8</v>
      </c>
      <c r="I60" s="3">
        <v>15</v>
      </c>
      <c r="J60" s="3">
        <v>20</v>
      </c>
      <c r="K60" s="3">
        <v>42</v>
      </c>
    </row>
    <row r="61" spans="1:11" x14ac:dyDescent="0.3">
      <c r="A61" s="3" t="s">
        <v>124</v>
      </c>
      <c r="B61" s="3" t="s">
        <v>129</v>
      </c>
      <c r="C61" s="3">
        <v>670</v>
      </c>
      <c r="D61" s="3">
        <v>33</v>
      </c>
      <c r="E61" s="3">
        <v>85</v>
      </c>
      <c r="F61" s="3">
        <v>1410</v>
      </c>
      <c r="G61" s="3">
        <v>36</v>
      </c>
      <c r="H61" s="3">
        <v>11</v>
      </c>
      <c r="I61" s="3">
        <v>30</v>
      </c>
      <c r="J61" s="3">
        <v>20</v>
      </c>
      <c r="K61" s="3">
        <v>58</v>
      </c>
    </row>
    <row r="62" spans="1:11" x14ac:dyDescent="0.3">
      <c r="A62" s="3" t="s">
        <v>124</v>
      </c>
      <c r="B62" s="3" t="s">
        <v>131</v>
      </c>
      <c r="C62" s="3">
        <v>510</v>
      </c>
      <c r="D62" s="3">
        <v>20</v>
      </c>
      <c r="E62" s="3">
        <v>105</v>
      </c>
      <c r="F62" s="3">
        <v>1250</v>
      </c>
      <c r="G62" s="3">
        <v>40</v>
      </c>
      <c r="H62" s="3">
        <v>9</v>
      </c>
      <c r="I62" s="3">
        <v>30</v>
      </c>
      <c r="J62" s="3">
        <v>20</v>
      </c>
      <c r="K62" s="3">
        <v>44</v>
      </c>
    </row>
    <row r="63" spans="1:11" x14ac:dyDescent="0.3">
      <c r="A63" s="3" t="s">
        <v>124</v>
      </c>
      <c r="B63" s="3" t="s">
        <v>132</v>
      </c>
      <c r="C63" s="3">
        <v>610</v>
      </c>
      <c r="D63" s="3">
        <v>28</v>
      </c>
      <c r="E63" s="3">
        <v>70</v>
      </c>
      <c r="F63" s="3">
        <v>1400</v>
      </c>
      <c r="G63" s="3">
        <v>32</v>
      </c>
      <c r="H63" s="3">
        <v>11</v>
      </c>
      <c r="I63" s="3">
        <v>15</v>
      </c>
      <c r="J63" s="3">
        <v>20</v>
      </c>
      <c r="K63" s="3">
        <v>57</v>
      </c>
    </row>
    <row r="64" spans="1:11" x14ac:dyDescent="0.3">
      <c r="A64" s="3" t="s">
        <v>124</v>
      </c>
      <c r="B64" s="3" t="s">
        <v>134</v>
      </c>
      <c r="C64" s="3">
        <v>450</v>
      </c>
      <c r="D64" s="3">
        <v>15</v>
      </c>
      <c r="E64" s="3">
        <v>90</v>
      </c>
      <c r="F64" s="3">
        <v>1230</v>
      </c>
      <c r="G64" s="3">
        <v>36</v>
      </c>
      <c r="H64" s="3">
        <v>9</v>
      </c>
      <c r="I64" s="3">
        <v>15</v>
      </c>
      <c r="J64" s="3">
        <v>20</v>
      </c>
      <c r="K64" s="3">
        <v>43</v>
      </c>
    </row>
    <row r="65" spans="1:11" x14ac:dyDescent="0.3">
      <c r="A65" s="3" t="s">
        <v>124</v>
      </c>
      <c r="B65" s="3" t="s">
        <v>136</v>
      </c>
      <c r="C65" s="3">
        <v>750</v>
      </c>
      <c r="D65" s="3">
        <v>38</v>
      </c>
      <c r="E65" s="3">
        <v>90</v>
      </c>
      <c r="F65" s="3">
        <v>1720</v>
      </c>
      <c r="G65" s="3">
        <v>36</v>
      </c>
      <c r="H65" s="3">
        <v>16</v>
      </c>
      <c r="I65" s="3">
        <v>30</v>
      </c>
      <c r="J65" s="3">
        <v>15</v>
      </c>
      <c r="K65" s="3">
        <v>65</v>
      </c>
    </row>
    <row r="66" spans="1:11" x14ac:dyDescent="0.3">
      <c r="A66" s="3" t="s">
        <v>124</v>
      </c>
      <c r="B66" s="3" t="s">
        <v>138</v>
      </c>
      <c r="C66" s="3">
        <v>590</v>
      </c>
      <c r="D66" s="3">
        <v>25</v>
      </c>
      <c r="E66" s="3">
        <v>110</v>
      </c>
      <c r="F66" s="3">
        <v>1560</v>
      </c>
      <c r="G66" s="3">
        <v>40</v>
      </c>
      <c r="H66" s="3">
        <v>14</v>
      </c>
      <c r="I66" s="3">
        <v>30</v>
      </c>
      <c r="J66" s="3">
        <v>15</v>
      </c>
      <c r="K66" s="3">
        <v>51</v>
      </c>
    </row>
    <row r="67" spans="1:11" x14ac:dyDescent="0.3">
      <c r="A67" s="3" t="s">
        <v>124</v>
      </c>
      <c r="B67" s="3" t="s">
        <v>139</v>
      </c>
      <c r="C67" s="3">
        <v>430</v>
      </c>
      <c r="D67" s="3">
        <v>19</v>
      </c>
      <c r="E67" s="3">
        <v>45</v>
      </c>
      <c r="F67" s="3">
        <v>910</v>
      </c>
      <c r="G67" s="3">
        <v>21</v>
      </c>
      <c r="H67" s="3">
        <v>7</v>
      </c>
      <c r="I67" s="3">
        <v>15</v>
      </c>
      <c r="J67" s="3">
        <v>15</v>
      </c>
      <c r="K67" s="3">
        <v>43</v>
      </c>
    </row>
    <row r="68" spans="1:11" x14ac:dyDescent="0.3">
      <c r="A68" s="3" t="s">
        <v>124</v>
      </c>
      <c r="B68" s="3" t="s">
        <v>141</v>
      </c>
      <c r="C68" s="3">
        <v>360</v>
      </c>
      <c r="D68" s="3">
        <v>16</v>
      </c>
      <c r="E68" s="3">
        <v>35</v>
      </c>
      <c r="F68" s="3">
        <v>800</v>
      </c>
      <c r="G68" s="3">
        <v>14</v>
      </c>
      <c r="H68" s="3">
        <v>5</v>
      </c>
      <c r="I68" s="3">
        <v>10</v>
      </c>
      <c r="J68" s="3">
        <v>15</v>
      </c>
      <c r="K68" s="3">
        <v>40</v>
      </c>
    </row>
    <row r="69" spans="1:11" x14ac:dyDescent="0.3">
      <c r="A69" s="3" t="s">
        <v>124</v>
      </c>
      <c r="B69" s="3" t="s">
        <v>143</v>
      </c>
      <c r="C69" s="3">
        <v>480</v>
      </c>
      <c r="D69" s="3">
        <v>24</v>
      </c>
      <c r="E69" s="3">
        <v>65</v>
      </c>
      <c r="F69" s="3">
        <v>1260</v>
      </c>
      <c r="G69" s="3">
        <v>22</v>
      </c>
      <c r="H69" s="3">
        <v>6</v>
      </c>
      <c r="I69" s="3">
        <v>20</v>
      </c>
      <c r="J69" s="3">
        <v>15</v>
      </c>
      <c r="K69" s="3">
        <v>43</v>
      </c>
    </row>
    <row r="70" spans="1:11" x14ac:dyDescent="0.3">
      <c r="A70" s="3" t="s">
        <v>124</v>
      </c>
      <c r="B70" s="3" t="s">
        <v>145</v>
      </c>
      <c r="C70" s="3">
        <v>430</v>
      </c>
      <c r="D70" s="3">
        <v>21</v>
      </c>
      <c r="E70" s="3">
        <v>50</v>
      </c>
      <c r="F70" s="3">
        <v>1260</v>
      </c>
      <c r="G70" s="3">
        <v>20</v>
      </c>
      <c r="H70" s="3">
        <v>6</v>
      </c>
      <c r="I70" s="3">
        <v>15</v>
      </c>
      <c r="J70" s="3">
        <v>15</v>
      </c>
      <c r="K70" s="3">
        <v>41</v>
      </c>
    </row>
    <row r="71" spans="1:11" x14ac:dyDescent="0.3">
      <c r="A71" s="3" t="s">
        <v>124</v>
      </c>
      <c r="B71" s="3" t="s">
        <v>146</v>
      </c>
      <c r="C71" s="3">
        <v>360</v>
      </c>
      <c r="D71" s="3">
        <v>16</v>
      </c>
      <c r="E71" s="3">
        <v>35</v>
      </c>
      <c r="F71" s="3">
        <v>990</v>
      </c>
      <c r="G71" s="3">
        <v>14</v>
      </c>
      <c r="H71" s="3">
        <v>5</v>
      </c>
      <c r="I71" s="3">
        <v>15</v>
      </c>
      <c r="J71" s="3">
        <v>15</v>
      </c>
      <c r="K71" s="3">
        <v>40</v>
      </c>
    </row>
    <row r="72" spans="1:11" x14ac:dyDescent="0.3">
      <c r="A72" s="3" t="s">
        <v>124</v>
      </c>
      <c r="B72" s="3" t="s">
        <v>148</v>
      </c>
      <c r="C72" s="3">
        <v>630</v>
      </c>
      <c r="D72" s="3">
        <v>32</v>
      </c>
      <c r="E72" s="3">
        <v>80</v>
      </c>
      <c r="F72" s="3">
        <v>1540</v>
      </c>
      <c r="G72" s="3">
        <v>32</v>
      </c>
      <c r="H72" s="3">
        <v>7</v>
      </c>
      <c r="I72" s="3">
        <v>20</v>
      </c>
      <c r="J72" s="3">
        <v>20</v>
      </c>
      <c r="K72" s="3">
        <v>56</v>
      </c>
    </row>
    <row r="73" spans="1:11" x14ac:dyDescent="0.3">
      <c r="A73" s="3" t="s">
        <v>124</v>
      </c>
      <c r="B73" s="3" t="s">
        <v>150</v>
      </c>
      <c r="C73" s="3">
        <v>480</v>
      </c>
      <c r="D73" s="3">
        <v>19</v>
      </c>
      <c r="E73" s="3">
        <v>95</v>
      </c>
      <c r="F73" s="3">
        <v>1370</v>
      </c>
      <c r="G73" s="3">
        <v>36</v>
      </c>
      <c r="H73" s="3">
        <v>6</v>
      </c>
      <c r="I73" s="3">
        <v>20</v>
      </c>
      <c r="J73" s="3">
        <v>20</v>
      </c>
      <c r="K73" s="3">
        <v>42</v>
      </c>
    </row>
    <row r="74" spans="1:11" x14ac:dyDescent="0.3">
      <c r="A74" s="3" t="s">
        <v>124</v>
      </c>
      <c r="B74" s="3" t="s">
        <v>152</v>
      </c>
      <c r="C74" s="3">
        <v>610</v>
      </c>
      <c r="D74" s="3">
        <v>31</v>
      </c>
      <c r="E74" s="3">
        <v>65</v>
      </c>
      <c r="F74" s="3">
        <v>1340</v>
      </c>
      <c r="G74" s="3">
        <v>27</v>
      </c>
      <c r="H74" s="3">
        <v>8</v>
      </c>
      <c r="I74" s="3">
        <v>20</v>
      </c>
      <c r="J74" s="3">
        <v>20</v>
      </c>
      <c r="K74" s="3">
        <v>56</v>
      </c>
    </row>
    <row r="75" spans="1:11" x14ac:dyDescent="0.3">
      <c r="A75" s="3" t="s">
        <v>124</v>
      </c>
      <c r="B75" s="3" t="s">
        <v>154</v>
      </c>
      <c r="C75" s="3">
        <v>450</v>
      </c>
      <c r="D75" s="3">
        <v>18</v>
      </c>
      <c r="E75" s="3">
        <v>80</v>
      </c>
      <c r="F75" s="3">
        <v>1170</v>
      </c>
      <c r="G75" s="3">
        <v>30</v>
      </c>
      <c r="H75" s="3">
        <v>6</v>
      </c>
      <c r="I75" s="3">
        <v>15</v>
      </c>
      <c r="J75" s="3">
        <v>20</v>
      </c>
      <c r="K75" s="3">
        <v>42</v>
      </c>
    </row>
    <row r="76" spans="1:11" x14ac:dyDescent="0.3">
      <c r="A76" s="3" t="s">
        <v>124</v>
      </c>
      <c r="B76" s="3" t="s">
        <v>156</v>
      </c>
      <c r="C76" s="3">
        <v>670</v>
      </c>
      <c r="D76" s="3">
        <v>33</v>
      </c>
      <c r="E76" s="3">
        <v>60</v>
      </c>
      <c r="F76" s="3">
        <v>1480</v>
      </c>
      <c r="G76" s="3">
        <v>27</v>
      </c>
      <c r="H76" s="3">
        <v>12</v>
      </c>
      <c r="I76" s="3">
        <v>20</v>
      </c>
      <c r="J76" s="3">
        <v>20</v>
      </c>
      <c r="K76" s="3">
        <v>68</v>
      </c>
    </row>
    <row r="77" spans="1:11" x14ac:dyDescent="0.3">
      <c r="A77" s="3" t="s">
        <v>124</v>
      </c>
      <c r="B77" s="3" t="s">
        <v>158</v>
      </c>
      <c r="C77" s="3">
        <v>520</v>
      </c>
      <c r="D77" s="3">
        <v>20</v>
      </c>
      <c r="E77" s="3">
        <v>80</v>
      </c>
      <c r="F77" s="3">
        <v>1320</v>
      </c>
      <c r="G77" s="3">
        <v>31</v>
      </c>
      <c r="H77" s="3">
        <v>10</v>
      </c>
      <c r="I77" s="3">
        <v>20</v>
      </c>
      <c r="J77" s="3">
        <v>20</v>
      </c>
      <c r="K77" s="3">
        <v>55</v>
      </c>
    </row>
    <row r="78" spans="1:11" x14ac:dyDescent="0.3">
      <c r="A78" s="3" t="s">
        <v>124</v>
      </c>
      <c r="B78" s="3" t="s">
        <v>160</v>
      </c>
      <c r="C78" s="3">
        <v>540</v>
      </c>
      <c r="D78" s="3">
        <v>23</v>
      </c>
      <c r="E78" s="3">
        <v>50</v>
      </c>
      <c r="F78" s="3">
        <v>1260</v>
      </c>
      <c r="G78" s="3">
        <v>23</v>
      </c>
      <c r="H78" s="3">
        <v>14</v>
      </c>
      <c r="I78" s="3">
        <v>8</v>
      </c>
      <c r="J78" s="3">
        <v>20</v>
      </c>
      <c r="K78" s="3">
        <v>61</v>
      </c>
    </row>
    <row r="79" spans="1:11" x14ac:dyDescent="0.3">
      <c r="A79" s="3" t="s">
        <v>124</v>
      </c>
      <c r="B79" s="3" t="s">
        <v>162</v>
      </c>
      <c r="C79" s="3">
        <v>380</v>
      </c>
      <c r="D79" s="3">
        <v>10</v>
      </c>
      <c r="E79" s="3">
        <v>65</v>
      </c>
      <c r="F79" s="3">
        <v>1090</v>
      </c>
      <c r="G79" s="3">
        <v>27</v>
      </c>
      <c r="H79" s="3">
        <v>12</v>
      </c>
      <c r="I79" s="3">
        <v>8</v>
      </c>
      <c r="J79" s="3">
        <v>20</v>
      </c>
      <c r="K79" s="3">
        <v>47</v>
      </c>
    </row>
    <row r="80" spans="1:11" x14ac:dyDescent="0.3">
      <c r="A80" s="3" t="s">
        <v>124</v>
      </c>
      <c r="B80" s="3" t="s">
        <v>164</v>
      </c>
      <c r="C80" s="3">
        <v>190</v>
      </c>
      <c r="D80" s="3">
        <v>12</v>
      </c>
      <c r="E80" s="3">
        <v>25</v>
      </c>
      <c r="F80" s="3">
        <v>360</v>
      </c>
      <c r="G80" s="3">
        <v>9</v>
      </c>
      <c r="H80" s="3">
        <v>0</v>
      </c>
      <c r="I80" s="3">
        <v>0</v>
      </c>
      <c r="J80" s="3">
        <v>2</v>
      </c>
      <c r="K80" s="3">
        <v>12</v>
      </c>
    </row>
    <row r="81" spans="1:11" x14ac:dyDescent="0.3">
      <c r="A81" s="3" t="s">
        <v>124</v>
      </c>
      <c r="B81" s="3" t="s">
        <v>166</v>
      </c>
      <c r="C81" s="3">
        <v>280</v>
      </c>
      <c r="D81" s="3">
        <v>18</v>
      </c>
      <c r="E81" s="3">
        <v>40</v>
      </c>
      <c r="F81" s="3">
        <v>540</v>
      </c>
      <c r="G81" s="3">
        <v>13</v>
      </c>
      <c r="H81" s="3">
        <v>0</v>
      </c>
      <c r="I81" s="3">
        <v>2</v>
      </c>
      <c r="J81" s="3">
        <v>4</v>
      </c>
      <c r="K81" s="3">
        <v>18</v>
      </c>
    </row>
    <row r="82" spans="1:11" x14ac:dyDescent="0.3">
      <c r="A82" s="3" t="s">
        <v>124</v>
      </c>
      <c r="B82" s="3" t="s">
        <v>168</v>
      </c>
      <c r="C82" s="3">
        <v>470</v>
      </c>
      <c r="D82" s="3">
        <v>30</v>
      </c>
      <c r="E82" s="3">
        <v>65</v>
      </c>
      <c r="F82" s="3">
        <v>900</v>
      </c>
      <c r="G82" s="3">
        <v>22</v>
      </c>
      <c r="H82" s="3">
        <v>0</v>
      </c>
      <c r="I82" s="3">
        <v>2</v>
      </c>
      <c r="J82" s="3">
        <v>6</v>
      </c>
      <c r="K82" s="3">
        <v>30</v>
      </c>
    </row>
    <row r="83" spans="1:11" x14ac:dyDescent="0.3">
      <c r="A83" s="3" t="s">
        <v>124</v>
      </c>
      <c r="B83" s="3" t="s">
        <v>170</v>
      </c>
      <c r="C83" s="3">
        <v>940</v>
      </c>
      <c r="D83" s="3">
        <v>59</v>
      </c>
      <c r="E83" s="3">
        <v>135</v>
      </c>
      <c r="F83" s="3">
        <v>1800</v>
      </c>
      <c r="G83" s="3">
        <v>44</v>
      </c>
      <c r="H83" s="3">
        <v>0</v>
      </c>
      <c r="I83" s="3">
        <v>4</v>
      </c>
      <c r="J83" s="3">
        <v>10</v>
      </c>
      <c r="K83" s="3">
        <v>59</v>
      </c>
    </row>
    <row r="84" spans="1:11" x14ac:dyDescent="0.3">
      <c r="A84" s="3" t="s">
        <v>124</v>
      </c>
      <c r="B84" s="3" t="s">
        <v>172</v>
      </c>
      <c r="C84" s="3">
        <v>1880</v>
      </c>
      <c r="D84" s="3">
        <v>118</v>
      </c>
      <c r="E84" s="3">
        <v>265</v>
      </c>
      <c r="F84" s="3">
        <v>3600</v>
      </c>
      <c r="G84" s="3">
        <v>87</v>
      </c>
      <c r="H84" s="3">
        <v>1</v>
      </c>
      <c r="I84" s="3">
        <v>8</v>
      </c>
      <c r="J84" s="3">
        <v>25</v>
      </c>
      <c r="K84" s="3">
        <v>118</v>
      </c>
    </row>
    <row r="85" spans="1:11" x14ac:dyDescent="0.3">
      <c r="A85" s="3" t="s">
        <v>124</v>
      </c>
      <c r="B85" s="3" t="s">
        <v>174</v>
      </c>
      <c r="C85" s="3">
        <v>390</v>
      </c>
      <c r="D85" s="3">
        <v>19</v>
      </c>
      <c r="E85" s="3">
        <v>40</v>
      </c>
      <c r="F85" s="3">
        <v>590</v>
      </c>
      <c r="G85" s="3">
        <v>15</v>
      </c>
      <c r="H85" s="3">
        <v>5</v>
      </c>
      <c r="I85" s="3">
        <v>15</v>
      </c>
      <c r="J85" s="3">
        <v>10</v>
      </c>
      <c r="K85" s="3">
        <v>39</v>
      </c>
    </row>
    <row r="86" spans="1:11" x14ac:dyDescent="0.3">
      <c r="A86" s="3" t="s">
        <v>176</v>
      </c>
      <c r="B86" s="3" t="s">
        <v>177</v>
      </c>
      <c r="C86" s="3">
        <v>140</v>
      </c>
      <c r="D86" s="3">
        <v>7</v>
      </c>
      <c r="E86" s="3">
        <v>25</v>
      </c>
      <c r="F86" s="3">
        <v>300</v>
      </c>
      <c r="G86" s="3">
        <v>9</v>
      </c>
      <c r="H86" s="3">
        <v>4</v>
      </c>
      <c r="I86" s="3">
        <v>15</v>
      </c>
      <c r="J86" s="3">
        <v>6</v>
      </c>
      <c r="K86" s="3">
        <v>10</v>
      </c>
    </row>
    <row r="87" spans="1:11" x14ac:dyDescent="0.3">
      <c r="A87" s="3" t="s">
        <v>176</v>
      </c>
      <c r="B87" s="3" t="s">
        <v>179</v>
      </c>
      <c r="C87" s="3">
        <v>380</v>
      </c>
      <c r="D87" s="3">
        <v>21</v>
      </c>
      <c r="E87" s="3">
        <v>70</v>
      </c>
      <c r="F87" s="3">
        <v>860</v>
      </c>
      <c r="G87" s="3">
        <v>25</v>
      </c>
      <c r="H87" s="3">
        <v>5</v>
      </c>
      <c r="I87" s="3">
        <v>15</v>
      </c>
      <c r="J87" s="3">
        <v>8</v>
      </c>
      <c r="K87" s="3">
        <v>22</v>
      </c>
    </row>
    <row r="88" spans="1:11" x14ac:dyDescent="0.3">
      <c r="A88" s="3" t="s">
        <v>176</v>
      </c>
      <c r="B88" s="3" t="s">
        <v>181</v>
      </c>
      <c r="C88" s="3">
        <v>220</v>
      </c>
      <c r="D88" s="3">
        <v>8</v>
      </c>
      <c r="E88" s="3">
        <v>85</v>
      </c>
      <c r="F88" s="3">
        <v>690</v>
      </c>
      <c r="G88" s="3">
        <v>29</v>
      </c>
      <c r="H88" s="3">
        <v>4</v>
      </c>
      <c r="I88" s="3">
        <v>15</v>
      </c>
      <c r="J88" s="3">
        <v>8</v>
      </c>
      <c r="K88" s="3">
        <v>8</v>
      </c>
    </row>
    <row r="89" spans="1:11" x14ac:dyDescent="0.3">
      <c r="A89" s="3" t="s">
        <v>176</v>
      </c>
      <c r="B89" s="3" t="s">
        <v>182</v>
      </c>
      <c r="C89" s="3">
        <v>140</v>
      </c>
      <c r="D89" s="3">
        <v>4.5</v>
      </c>
      <c r="E89" s="3">
        <v>10</v>
      </c>
      <c r="F89" s="3">
        <v>150</v>
      </c>
      <c r="G89" s="3">
        <v>6</v>
      </c>
      <c r="H89" s="3">
        <v>6</v>
      </c>
      <c r="I89" s="3">
        <v>15</v>
      </c>
      <c r="J89" s="3">
        <v>10</v>
      </c>
      <c r="K89" s="3">
        <v>20</v>
      </c>
    </row>
    <row r="90" spans="1:11" x14ac:dyDescent="0.3">
      <c r="A90" s="3" t="s">
        <v>176</v>
      </c>
      <c r="B90" s="3" t="s">
        <v>183</v>
      </c>
      <c r="C90" s="3">
        <v>450</v>
      </c>
      <c r="D90" s="3">
        <v>22</v>
      </c>
      <c r="E90" s="3">
        <v>50</v>
      </c>
      <c r="F90" s="3">
        <v>850</v>
      </c>
      <c r="G90" s="3">
        <v>23</v>
      </c>
      <c r="H90" s="3">
        <v>12</v>
      </c>
      <c r="I90" s="3">
        <v>15</v>
      </c>
      <c r="J90" s="3">
        <v>15</v>
      </c>
      <c r="K90" s="3">
        <v>42</v>
      </c>
    </row>
    <row r="91" spans="1:11" x14ac:dyDescent="0.3">
      <c r="A91" s="3" t="s">
        <v>176</v>
      </c>
      <c r="B91" s="3" t="s">
        <v>185</v>
      </c>
      <c r="C91" s="3">
        <v>290</v>
      </c>
      <c r="D91" s="3">
        <v>8</v>
      </c>
      <c r="E91" s="3">
        <v>70</v>
      </c>
      <c r="F91" s="3">
        <v>680</v>
      </c>
      <c r="G91" s="3">
        <v>27</v>
      </c>
      <c r="H91" s="3">
        <v>10</v>
      </c>
      <c r="I91" s="3">
        <v>15</v>
      </c>
      <c r="J91" s="3">
        <v>15</v>
      </c>
      <c r="K91" s="3">
        <v>28</v>
      </c>
    </row>
    <row r="92" spans="1:11" x14ac:dyDescent="0.3">
      <c r="A92" s="3" t="s">
        <v>187</v>
      </c>
      <c r="B92" s="3" t="s">
        <v>188</v>
      </c>
      <c r="C92" s="3">
        <v>340</v>
      </c>
      <c r="D92" s="3">
        <v>15</v>
      </c>
      <c r="E92" s="3">
        <v>30</v>
      </c>
      <c r="F92" s="3">
        <v>780</v>
      </c>
      <c r="G92" s="3">
        <v>14</v>
      </c>
      <c r="H92" s="3">
        <v>8</v>
      </c>
      <c r="I92" s="3">
        <v>10</v>
      </c>
      <c r="J92" s="3">
        <v>10</v>
      </c>
      <c r="K92" s="3">
        <v>37</v>
      </c>
    </row>
    <row r="93" spans="1:11" x14ac:dyDescent="0.3">
      <c r="A93" s="3" t="s">
        <v>187</v>
      </c>
      <c r="B93" s="3" t="s">
        <v>190</v>
      </c>
      <c r="C93" s="3">
        <v>260</v>
      </c>
      <c r="D93" s="3">
        <v>8</v>
      </c>
      <c r="E93" s="3">
        <v>40</v>
      </c>
      <c r="F93" s="3">
        <v>700</v>
      </c>
      <c r="G93" s="3">
        <v>16</v>
      </c>
      <c r="H93" s="3">
        <v>7</v>
      </c>
      <c r="I93" s="3">
        <v>10</v>
      </c>
      <c r="J93" s="3">
        <v>10</v>
      </c>
      <c r="K93" s="3">
        <v>30</v>
      </c>
    </row>
    <row r="94" spans="1:11" x14ac:dyDescent="0.3">
      <c r="A94" s="3" t="s">
        <v>187</v>
      </c>
      <c r="B94" s="3" t="s">
        <v>192</v>
      </c>
      <c r="C94" s="3">
        <v>330</v>
      </c>
      <c r="D94" s="3">
        <v>15</v>
      </c>
      <c r="E94" s="3">
        <v>35</v>
      </c>
      <c r="F94" s="3">
        <v>730</v>
      </c>
      <c r="G94" s="3">
        <v>14</v>
      </c>
      <c r="H94" s="3">
        <v>3</v>
      </c>
      <c r="I94" s="3">
        <v>10</v>
      </c>
      <c r="J94" s="3">
        <v>10</v>
      </c>
      <c r="K94" s="3">
        <v>34</v>
      </c>
    </row>
    <row r="95" spans="1:11" x14ac:dyDescent="0.3">
      <c r="A95" s="3" t="s">
        <v>187</v>
      </c>
      <c r="B95" s="3" t="s">
        <v>193</v>
      </c>
      <c r="C95" s="3">
        <v>250</v>
      </c>
      <c r="D95" s="3">
        <v>8</v>
      </c>
      <c r="E95" s="3">
        <v>45</v>
      </c>
      <c r="F95" s="3">
        <v>650</v>
      </c>
      <c r="G95" s="3">
        <v>16</v>
      </c>
      <c r="H95" s="3">
        <v>2</v>
      </c>
      <c r="I95" s="3">
        <v>10</v>
      </c>
      <c r="J95" s="3">
        <v>10</v>
      </c>
      <c r="K95" s="3">
        <v>27</v>
      </c>
    </row>
    <row r="96" spans="1:11" x14ac:dyDescent="0.3">
      <c r="A96" s="3" t="s">
        <v>187</v>
      </c>
      <c r="B96" s="3" t="s">
        <v>195</v>
      </c>
      <c r="C96" s="3">
        <v>360</v>
      </c>
      <c r="D96" s="3">
        <v>20</v>
      </c>
      <c r="E96" s="3">
        <v>40</v>
      </c>
      <c r="F96" s="3">
        <v>810</v>
      </c>
      <c r="G96" s="3">
        <v>15</v>
      </c>
      <c r="H96" s="3">
        <v>3</v>
      </c>
      <c r="I96" s="3">
        <v>10</v>
      </c>
      <c r="J96" s="3">
        <v>10</v>
      </c>
      <c r="K96" s="3">
        <v>32</v>
      </c>
    </row>
    <row r="97" spans="1:11" x14ac:dyDescent="0.3">
      <c r="A97" s="3" t="s">
        <v>187</v>
      </c>
      <c r="B97" s="3" t="s">
        <v>197</v>
      </c>
      <c r="C97" s="3">
        <v>280</v>
      </c>
      <c r="D97" s="3">
        <v>13</v>
      </c>
      <c r="E97" s="3">
        <v>45</v>
      </c>
      <c r="F97" s="3">
        <v>720</v>
      </c>
      <c r="G97" s="3">
        <v>16</v>
      </c>
      <c r="H97" s="3">
        <v>2</v>
      </c>
      <c r="I97" s="3">
        <v>10</v>
      </c>
      <c r="J97" s="3">
        <v>10</v>
      </c>
      <c r="K97" s="3">
        <v>25</v>
      </c>
    </row>
    <row r="98" spans="1:11" x14ac:dyDescent="0.3">
      <c r="A98" s="3" t="s">
        <v>187</v>
      </c>
      <c r="B98" s="3" t="s">
        <v>199</v>
      </c>
      <c r="C98" s="3">
        <v>230</v>
      </c>
      <c r="D98" s="3">
        <v>11</v>
      </c>
      <c r="E98" s="3">
        <v>0</v>
      </c>
      <c r="F98" s="3">
        <v>130</v>
      </c>
      <c r="G98" s="3">
        <v>2</v>
      </c>
      <c r="H98" s="3">
        <v>0</v>
      </c>
      <c r="I98" s="3">
        <v>0</v>
      </c>
      <c r="J98" s="3">
        <v>4</v>
      </c>
      <c r="K98" s="3">
        <v>30</v>
      </c>
    </row>
    <row r="99" spans="1:11" x14ac:dyDescent="0.3">
      <c r="A99" s="3" t="s">
        <v>187</v>
      </c>
      <c r="B99" s="3" t="s">
        <v>201</v>
      </c>
      <c r="C99" s="3">
        <v>340</v>
      </c>
      <c r="D99" s="3">
        <v>16</v>
      </c>
      <c r="E99" s="3">
        <v>0</v>
      </c>
      <c r="F99" s="3">
        <v>190</v>
      </c>
      <c r="G99" s="3">
        <v>4</v>
      </c>
      <c r="H99" s="3">
        <v>0</v>
      </c>
      <c r="I99" s="3">
        <v>2</v>
      </c>
      <c r="J99" s="3">
        <v>4</v>
      </c>
      <c r="K99" s="3">
        <v>44</v>
      </c>
    </row>
    <row r="100" spans="1:11" x14ac:dyDescent="0.3">
      <c r="A100" s="3" t="s">
        <v>187</v>
      </c>
      <c r="B100" s="3" t="s">
        <v>202</v>
      </c>
      <c r="C100" s="3">
        <v>510</v>
      </c>
      <c r="D100" s="3">
        <v>24</v>
      </c>
      <c r="E100" s="3">
        <v>0</v>
      </c>
      <c r="F100" s="3">
        <v>290</v>
      </c>
      <c r="G100" s="3">
        <v>6</v>
      </c>
      <c r="H100" s="3">
        <v>0</v>
      </c>
      <c r="I100" s="3">
        <v>2</v>
      </c>
      <c r="J100" s="3">
        <v>8</v>
      </c>
      <c r="K100" s="3">
        <v>67</v>
      </c>
    </row>
    <row r="101" spans="1:11" x14ac:dyDescent="0.3">
      <c r="A101" s="3" t="s">
        <v>187</v>
      </c>
      <c r="B101" s="3" t="s">
        <v>204</v>
      </c>
      <c r="C101" s="3">
        <v>110</v>
      </c>
      <c r="D101" s="3">
        <v>5</v>
      </c>
      <c r="E101" s="3">
        <v>0</v>
      </c>
      <c r="F101" s="3">
        <v>65</v>
      </c>
      <c r="G101" s="3">
        <v>1</v>
      </c>
      <c r="H101" s="3">
        <v>0</v>
      </c>
      <c r="I101" s="3">
        <v>0</v>
      </c>
      <c r="J101" s="3">
        <v>2</v>
      </c>
      <c r="K101" s="3">
        <v>15</v>
      </c>
    </row>
    <row r="102" spans="1:11" x14ac:dyDescent="0.3">
      <c r="A102" s="3" t="s">
        <v>187</v>
      </c>
      <c r="B102" s="3" t="s">
        <v>206</v>
      </c>
      <c r="C102" s="3">
        <v>20</v>
      </c>
      <c r="D102" s="3">
        <v>0</v>
      </c>
      <c r="E102" s="3">
        <v>0</v>
      </c>
      <c r="F102" s="3">
        <v>10</v>
      </c>
      <c r="G102" s="3">
        <v>1</v>
      </c>
      <c r="H102" s="3">
        <v>2</v>
      </c>
      <c r="I102" s="3">
        <v>2</v>
      </c>
      <c r="J102" s="3">
        <v>4</v>
      </c>
      <c r="K102" s="3">
        <v>4</v>
      </c>
    </row>
    <row r="103" spans="1:11" x14ac:dyDescent="0.3">
      <c r="A103" s="3" t="s">
        <v>187</v>
      </c>
      <c r="B103" s="3" t="s">
        <v>208</v>
      </c>
      <c r="C103" s="3">
        <v>15</v>
      </c>
      <c r="D103" s="3">
        <v>0</v>
      </c>
      <c r="E103" s="3">
        <v>0</v>
      </c>
      <c r="F103" s="3">
        <v>0</v>
      </c>
      <c r="G103" s="3">
        <v>0</v>
      </c>
      <c r="H103" s="3">
        <v>3</v>
      </c>
      <c r="I103" s="3">
        <v>2</v>
      </c>
      <c r="J103" s="3">
        <v>0</v>
      </c>
      <c r="K103" s="3">
        <v>4</v>
      </c>
    </row>
    <row r="104" spans="1:11" x14ac:dyDescent="0.3">
      <c r="A104" s="3" t="s">
        <v>187</v>
      </c>
      <c r="B104" s="3" t="s">
        <v>210</v>
      </c>
      <c r="C104" s="3">
        <v>150</v>
      </c>
      <c r="D104" s="3">
        <v>2</v>
      </c>
      <c r="E104" s="3">
        <v>5</v>
      </c>
      <c r="F104" s="3">
        <v>70</v>
      </c>
      <c r="G104" s="3">
        <v>4</v>
      </c>
      <c r="H104" s="3">
        <v>23</v>
      </c>
      <c r="I104" s="3">
        <v>10</v>
      </c>
      <c r="J104" s="3">
        <v>4</v>
      </c>
      <c r="K104" s="3">
        <v>30</v>
      </c>
    </row>
    <row r="105" spans="1:11" x14ac:dyDescent="0.3">
      <c r="A105" s="3" t="s">
        <v>212</v>
      </c>
      <c r="B105" s="3" t="s">
        <v>213</v>
      </c>
      <c r="C105" s="3">
        <v>250</v>
      </c>
      <c r="D105" s="3">
        <v>13</v>
      </c>
      <c r="E105" s="3">
        <v>0</v>
      </c>
      <c r="F105" s="3">
        <v>170</v>
      </c>
      <c r="G105" s="3">
        <v>2</v>
      </c>
      <c r="H105" s="3">
        <v>13</v>
      </c>
      <c r="I105" s="3">
        <v>2</v>
      </c>
      <c r="J105" s="3">
        <v>6</v>
      </c>
      <c r="K105" s="3">
        <v>32</v>
      </c>
    </row>
    <row r="106" spans="1:11" x14ac:dyDescent="0.3">
      <c r="A106" s="3" t="s">
        <v>212</v>
      </c>
      <c r="B106" s="3" t="s">
        <v>215</v>
      </c>
      <c r="C106" s="3">
        <v>160</v>
      </c>
      <c r="D106" s="3">
        <v>8</v>
      </c>
      <c r="E106" s="3">
        <v>10</v>
      </c>
      <c r="F106" s="3">
        <v>90</v>
      </c>
      <c r="G106" s="3">
        <v>2</v>
      </c>
      <c r="H106" s="3">
        <v>15</v>
      </c>
      <c r="I106" s="3">
        <v>2</v>
      </c>
      <c r="J106" s="3">
        <v>8</v>
      </c>
      <c r="K106" s="3">
        <v>21</v>
      </c>
    </row>
    <row r="107" spans="1:11" x14ac:dyDescent="0.3">
      <c r="A107" s="3" t="s">
        <v>212</v>
      </c>
      <c r="B107" s="3" t="s">
        <v>217</v>
      </c>
      <c r="C107" s="3">
        <v>150</v>
      </c>
      <c r="D107" s="3">
        <v>6</v>
      </c>
      <c r="E107" s="3">
        <v>10</v>
      </c>
      <c r="F107" s="3">
        <v>135</v>
      </c>
      <c r="G107" s="3">
        <v>2</v>
      </c>
      <c r="H107" s="3">
        <v>13</v>
      </c>
      <c r="I107" s="3">
        <v>2</v>
      </c>
      <c r="J107" s="3">
        <v>6</v>
      </c>
      <c r="K107" s="3">
        <v>22</v>
      </c>
    </row>
    <row r="108" spans="1:11" x14ac:dyDescent="0.3">
      <c r="A108" s="3" t="s">
        <v>212</v>
      </c>
      <c r="B108" s="3" t="s">
        <v>218</v>
      </c>
      <c r="C108" s="3">
        <v>45</v>
      </c>
      <c r="D108" s="3">
        <v>1.5</v>
      </c>
      <c r="E108" s="3">
        <v>5</v>
      </c>
      <c r="F108" s="3">
        <v>20</v>
      </c>
      <c r="G108" s="3">
        <v>1</v>
      </c>
      <c r="H108" s="3">
        <v>6</v>
      </c>
      <c r="I108" s="3">
        <v>4</v>
      </c>
      <c r="J108" s="3">
        <v>0</v>
      </c>
      <c r="K108" s="3">
        <v>7</v>
      </c>
    </row>
    <row r="109" spans="1:11" x14ac:dyDescent="0.3">
      <c r="A109" s="3" t="s">
        <v>212</v>
      </c>
      <c r="B109" s="3" t="s">
        <v>220</v>
      </c>
      <c r="C109" s="3">
        <v>330</v>
      </c>
      <c r="D109" s="3">
        <v>9</v>
      </c>
      <c r="E109" s="3">
        <v>25</v>
      </c>
      <c r="F109" s="3">
        <v>170</v>
      </c>
      <c r="G109" s="3">
        <v>8</v>
      </c>
      <c r="H109" s="3">
        <v>48</v>
      </c>
      <c r="I109" s="3">
        <v>25</v>
      </c>
      <c r="J109" s="3">
        <v>8</v>
      </c>
      <c r="K109" s="3">
        <v>53</v>
      </c>
    </row>
    <row r="110" spans="1:11" x14ac:dyDescent="0.3">
      <c r="A110" s="3" t="s">
        <v>212</v>
      </c>
      <c r="B110" s="3" t="s">
        <v>222</v>
      </c>
      <c r="C110" s="3">
        <v>340</v>
      </c>
      <c r="D110" s="3">
        <v>8</v>
      </c>
      <c r="E110" s="3">
        <v>30</v>
      </c>
      <c r="F110" s="3">
        <v>150</v>
      </c>
      <c r="G110" s="3">
        <v>7</v>
      </c>
      <c r="H110" s="3">
        <v>43</v>
      </c>
      <c r="I110" s="3">
        <v>25</v>
      </c>
      <c r="J110" s="3">
        <v>0</v>
      </c>
      <c r="K110" s="3">
        <v>60</v>
      </c>
    </row>
    <row r="111" spans="1:11" x14ac:dyDescent="0.3">
      <c r="A111" s="3" t="s">
        <v>212</v>
      </c>
      <c r="B111" s="3" t="s">
        <v>224</v>
      </c>
      <c r="C111" s="3">
        <v>280</v>
      </c>
      <c r="D111" s="3">
        <v>6</v>
      </c>
      <c r="E111" s="3">
        <v>25</v>
      </c>
      <c r="F111" s="3">
        <v>85</v>
      </c>
      <c r="G111" s="3">
        <v>6</v>
      </c>
      <c r="H111" s="3">
        <v>45</v>
      </c>
      <c r="I111" s="3">
        <v>20</v>
      </c>
      <c r="J111" s="3">
        <v>0</v>
      </c>
      <c r="K111" s="3">
        <v>49</v>
      </c>
    </row>
    <row r="112" spans="1:11" x14ac:dyDescent="0.3">
      <c r="A112" s="3" t="s">
        <v>225</v>
      </c>
      <c r="B112" s="3" t="s">
        <v>226</v>
      </c>
      <c r="C112" s="3">
        <v>140</v>
      </c>
      <c r="D112" s="3">
        <v>0</v>
      </c>
      <c r="E112" s="3">
        <v>0</v>
      </c>
      <c r="F112" s="3">
        <v>0</v>
      </c>
      <c r="G112" s="3">
        <v>0</v>
      </c>
      <c r="H112" s="3">
        <v>39</v>
      </c>
      <c r="I112" s="3">
        <v>0</v>
      </c>
      <c r="J112" s="3">
        <v>0</v>
      </c>
      <c r="K112" s="3">
        <v>39</v>
      </c>
    </row>
    <row r="113" spans="1:11" x14ac:dyDescent="0.3">
      <c r="A113" s="3" t="s">
        <v>225</v>
      </c>
      <c r="B113" s="3" t="s">
        <v>228</v>
      </c>
      <c r="C113" s="3">
        <v>200</v>
      </c>
      <c r="D113" s="3">
        <v>0</v>
      </c>
      <c r="E113" s="3">
        <v>0</v>
      </c>
      <c r="F113" s="3">
        <v>5</v>
      </c>
      <c r="G113" s="3">
        <v>0</v>
      </c>
      <c r="H113" s="3">
        <v>55</v>
      </c>
      <c r="I113" s="3">
        <v>0</v>
      </c>
      <c r="J113" s="3">
        <v>0</v>
      </c>
      <c r="K113" s="3">
        <v>55</v>
      </c>
    </row>
    <row r="114" spans="1:11" x14ac:dyDescent="0.3">
      <c r="A114" s="3" t="s">
        <v>225</v>
      </c>
      <c r="B114" s="3" t="s">
        <v>230</v>
      </c>
      <c r="C114" s="3">
        <v>280</v>
      </c>
      <c r="D114" s="3">
        <v>0</v>
      </c>
      <c r="E114" s="3">
        <v>0</v>
      </c>
      <c r="F114" s="3">
        <v>5</v>
      </c>
      <c r="G114" s="3">
        <v>0</v>
      </c>
      <c r="H114" s="3">
        <v>76</v>
      </c>
      <c r="I114" s="3">
        <v>0</v>
      </c>
      <c r="J114" s="3">
        <v>0</v>
      </c>
      <c r="K114" s="3">
        <v>76</v>
      </c>
    </row>
    <row r="115" spans="1:11" x14ac:dyDescent="0.3">
      <c r="A115" s="3" t="s">
        <v>225</v>
      </c>
      <c r="B115" s="3" t="s">
        <v>232</v>
      </c>
      <c r="C115" s="3">
        <v>100</v>
      </c>
      <c r="D115" s="3">
        <v>0</v>
      </c>
      <c r="E115" s="3">
        <v>0</v>
      </c>
      <c r="F115" s="3">
        <v>0</v>
      </c>
      <c r="G115" s="3">
        <v>0</v>
      </c>
      <c r="H115" s="3">
        <v>28</v>
      </c>
      <c r="I115" s="3">
        <v>0</v>
      </c>
      <c r="J115" s="3">
        <v>0</v>
      </c>
      <c r="K115" s="3">
        <v>28</v>
      </c>
    </row>
    <row r="116" spans="1:11" x14ac:dyDescent="0.3">
      <c r="A116" s="3" t="s">
        <v>225</v>
      </c>
      <c r="B116" s="3" t="s">
        <v>234</v>
      </c>
      <c r="C116" s="3">
        <v>0</v>
      </c>
      <c r="D116" s="3">
        <v>0</v>
      </c>
      <c r="E116" s="3">
        <v>0</v>
      </c>
      <c r="F116" s="3">
        <v>10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</row>
    <row r="117" spans="1:11" x14ac:dyDescent="0.3">
      <c r="A117" s="3" t="s">
        <v>225</v>
      </c>
      <c r="B117" s="3" t="s">
        <v>235</v>
      </c>
      <c r="C117" s="3">
        <v>0</v>
      </c>
      <c r="D117" s="3">
        <v>0</v>
      </c>
      <c r="E117" s="3">
        <v>0</v>
      </c>
      <c r="F117" s="3">
        <v>20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 x14ac:dyDescent="0.3">
      <c r="A118" s="3" t="s">
        <v>225</v>
      </c>
      <c r="B118" s="3" t="s">
        <v>236</v>
      </c>
      <c r="C118" s="3">
        <v>0</v>
      </c>
      <c r="D118" s="3">
        <v>0</v>
      </c>
      <c r="E118" s="3">
        <v>0</v>
      </c>
      <c r="F118" s="3">
        <v>35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</row>
    <row r="119" spans="1:11" x14ac:dyDescent="0.3">
      <c r="A119" s="3" t="s">
        <v>225</v>
      </c>
      <c r="B119" s="3" t="s">
        <v>237</v>
      </c>
      <c r="C119" s="3">
        <v>0</v>
      </c>
      <c r="D119" s="3">
        <v>0</v>
      </c>
      <c r="E119" s="3">
        <v>0</v>
      </c>
      <c r="F119" s="3">
        <v>15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 x14ac:dyDescent="0.3">
      <c r="A120" s="3" t="s">
        <v>225</v>
      </c>
      <c r="B120" s="3" t="s">
        <v>238</v>
      </c>
      <c r="C120" s="3">
        <v>140</v>
      </c>
      <c r="D120" s="3">
        <v>0</v>
      </c>
      <c r="E120" s="3">
        <v>0</v>
      </c>
      <c r="F120" s="3">
        <v>45</v>
      </c>
      <c r="G120" s="3">
        <v>0</v>
      </c>
      <c r="H120" s="3">
        <v>35</v>
      </c>
      <c r="I120" s="3">
        <v>0</v>
      </c>
      <c r="J120" s="3">
        <v>0</v>
      </c>
      <c r="K120" s="3">
        <v>37</v>
      </c>
    </row>
    <row r="121" spans="1:11" x14ac:dyDescent="0.3">
      <c r="A121" s="3" t="s">
        <v>225</v>
      </c>
      <c r="B121" s="3" t="s">
        <v>239</v>
      </c>
      <c r="C121" s="3">
        <v>190</v>
      </c>
      <c r="D121" s="3">
        <v>0</v>
      </c>
      <c r="E121" s="3">
        <v>0</v>
      </c>
      <c r="F121" s="3">
        <v>65</v>
      </c>
      <c r="G121" s="3">
        <v>0</v>
      </c>
      <c r="H121" s="3">
        <v>51</v>
      </c>
      <c r="I121" s="3">
        <v>0</v>
      </c>
      <c r="J121" s="3">
        <v>0</v>
      </c>
      <c r="K121" s="3">
        <v>53</v>
      </c>
    </row>
    <row r="122" spans="1:11" x14ac:dyDescent="0.3">
      <c r="A122" s="3" t="s">
        <v>225</v>
      </c>
      <c r="B122" s="3" t="s">
        <v>240</v>
      </c>
      <c r="C122" s="3">
        <v>270</v>
      </c>
      <c r="D122" s="3">
        <v>0</v>
      </c>
      <c r="E122" s="3">
        <v>0</v>
      </c>
      <c r="F122" s="3">
        <v>90</v>
      </c>
      <c r="G122" s="3">
        <v>0</v>
      </c>
      <c r="H122" s="3">
        <v>70</v>
      </c>
      <c r="I122" s="3">
        <v>0</v>
      </c>
      <c r="J122" s="3">
        <v>0</v>
      </c>
      <c r="K122" s="3">
        <v>72</v>
      </c>
    </row>
    <row r="123" spans="1:11" x14ac:dyDescent="0.3">
      <c r="A123" s="3" t="s">
        <v>225</v>
      </c>
      <c r="B123" s="3" t="s">
        <v>241</v>
      </c>
      <c r="C123" s="3">
        <v>100</v>
      </c>
      <c r="D123" s="3">
        <v>0</v>
      </c>
      <c r="E123" s="3">
        <v>0</v>
      </c>
      <c r="F123" s="3">
        <v>30</v>
      </c>
      <c r="G123" s="3">
        <v>0</v>
      </c>
      <c r="H123" s="3">
        <v>26</v>
      </c>
      <c r="I123" s="3">
        <v>0</v>
      </c>
      <c r="J123" s="3">
        <v>0</v>
      </c>
      <c r="K123" s="3">
        <v>27</v>
      </c>
    </row>
    <row r="124" spans="1:11" x14ac:dyDescent="0.3">
      <c r="A124" s="3" t="s">
        <v>225</v>
      </c>
      <c r="B124" s="3" t="s">
        <v>242</v>
      </c>
      <c r="C124" s="3">
        <v>0</v>
      </c>
      <c r="D124" s="3">
        <v>0</v>
      </c>
      <c r="E124" s="3">
        <v>0</v>
      </c>
      <c r="F124" s="3">
        <v>70</v>
      </c>
      <c r="G124" s="3">
        <v>2</v>
      </c>
      <c r="H124" s="3">
        <v>0</v>
      </c>
      <c r="I124" s="3">
        <v>0</v>
      </c>
      <c r="J124" s="3">
        <v>0</v>
      </c>
      <c r="K124" s="3">
        <v>0</v>
      </c>
    </row>
    <row r="125" spans="1:11" x14ac:dyDescent="0.3">
      <c r="A125" s="3" t="s">
        <v>225</v>
      </c>
      <c r="B125" s="3" t="s">
        <v>243</v>
      </c>
      <c r="C125" s="3">
        <v>0</v>
      </c>
      <c r="D125" s="3">
        <v>0</v>
      </c>
      <c r="E125" s="3">
        <v>0</v>
      </c>
      <c r="F125" s="3">
        <v>100</v>
      </c>
      <c r="G125" s="3">
        <v>3</v>
      </c>
      <c r="H125" s="3">
        <v>0</v>
      </c>
      <c r="I125" s="3">
        <v>0</v>
      </c>
      <c r="J125" s="3">
        <v>0</v>
      </c>
      <c r="K125" s="3">
        <v>0</v>
      </c>
    </row>
    <row r="126" spans="1:11" x14ac:dyDescent="0.3">
      <c r="A126" s="3" t="s">
        <v>225</v>
      </c>
      <c r="B126" s="3" t="s">
        <v>244</v>
      </c>
      <c r="C126" s="3">
        <v>0</v>
      </c>
      <c r="D126" s="3">
        <v>0</v>
      </c>
      <c r="E126" s="3">
        <v>0</v>
      </c>
      <c r="F126" s="3">
        <v>140</v>
      </c>
      <c r="G126" s="3">
        <v>4</v>
      </c>
      <c r="H126" s="3">
        <v>0</v>
      </c>
      <c r="I126" s="3">
        <v>0</v>
      </c>
      <c r="J126" s="3">
        <v>0</v>
      </c>
      <c r="K126" s="3">
        <v>0</v>
      </c>
    </row>
    <row r="127" spans="1:11" x14ac:dyDescent="0.3">
      <c r="A127" s="3" t="s">
        <v>225</v>
      </c>
      <c r="B127" s="3" t="s">
        <v>245</v>
      </c>
      <c r="C127" s="3">
        <v>0</v>
      </c>
      <c r="D127" s="3">
        <v>0</v>
      </c>
      <c r="E127" s="3">
        <v>0</v>
      </c>
      <c r="F127" s="3">
        <v>50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</row>
    <row r="128" spans="1:11" x14ac:dyDescent="0.3">
      <c r="A128" s="3" t="s">
        <v>225</v>
      </c>
      <c r="B128" s="3" t="s">
        <v>246</v>
      </c>
      <c r="C128" s="3">
        <v>140</v>
      </c>
      <c r="D128" s="3">
        <v>0</v>
      </c>
      <c r="E128" s="3">
        <v>0</v>
      </c>
      <c r="F128" s="3">
        <v>30</v>
      </c>
      <c r="G128" s="3">
        <v>0</v>
      </c>
      <c r="H128" s="3">
        <v>37</v>
      </c>
      <c r="I128" s="3">
        <v>0</v>
      </c>
      <c r="J128" s="3">
        <v>0</v>
      </c>
      <c r="K128" s="3">
        <v>37</v>
      </c>
    </row>
    <row r="129" spans="1:11" x14ac:dyDescent="0.3">
      <c r="A129" s="3" t="s">
        <v>225</v>
      </c>
      <c r="B129" s="3" t="s">
        <v>247</v>
      </c>
      <c r="C129" s="3">
        <v>200</v>
      </c>
      <c r="D129" s="3">
        <v>0</v>
      </c>
      <c r="E129" s="3">
        <v>0</v>
      </c>
      <c r="F129" s="3">
        <v>45</v>
      </c>
      <c r="G129" s="3">
        <v>0</v>
      </c>
      <c r="H129" s="3">
        <v>54</v>
      </c>
      <c r="I129" s="3">
        <v>0</v>
      </c>
      <c r="J129" s="3">
        <v>0</v>
      </c>
      <c r="K129" s="3">
        <v>54</v>
      </c>
    </row>
    <row r="130" spans="1:11" x14ac:dyDescent="0.3">
      <c r="A130" s="3" t="s">
        <v>225</v>
      </c>
      <c r="B130" s="3" t="s">
        <v>248</v>
      </c>
      <c r="C130" s="3">
        <v>280</v>
      </c>
      <c r="D130" s="3">
        <v>0</v>
      </c>
      <c r="E130" s="3">
        <v>0</v>
      </c>
      <c r="F130" s="3">
        <v>60</v>
      </c>
      <c r="G130" s="3">
        <v>0</v>
      </c>
      <c r="H130" s="3">
        <v>74</v>
      </c>
      <c r="I130" s="3">
        <v>0</v>
      </c>
      <c r="J130" s="3">
        <v>0</v>
      </c>
      <c r="K130" s="3">
        <v>74</v>
      </c>
    </row>
    <row r="131" spans="1:11" x14ac:dyDescent="0.3">
      <c r="A131" s="3" t="s">
        <v>225</v>
      </c>
      <c r="B131" s="3" t="s">
        <v>249</v>
      </c>
      <c r="C131" s="3">
        <v>100</v>
      </c>
      <c r="D131" s="3">
        <v>0</v>
      </c>
      <c r="E131" s="3">
        <v>0</v>
      </c>
      <c r="F131" s="3">
        <v>25</v>
      </c>
      <c r="G131" s="3">
        <v>0</v>
      </c>
      <c r="H131" s="3">
        <v>27</v>
      </c>
      <c r="I131" s="3">
        <v>0</v>
      </c>
      <c r="J131" s="3">
        <v>0</v>
      </c>
      <c r="K131" s="3">
        <v>27</v>
      </c>
    </row>
    <row r="132" spans="1:11" x14ac:dyDescent="0.3">
      <c r="A132" s="3" t="s">
        <v>225</v>
      </c>
      <c r="B132" s="3" t="s">
        <v>250</v>
      </c>
      <c r="C132" s="3">
        <v>100</v>
      </c>
      <c r="D132" s="3">
        <v>2.5</v>
      </c>
      <c r="E132" s="3">
        <v>10</v>
      </c>
      <c r="F132" s="3">
        <v>125</v>
      </c>
      <c r="G132" s="3">
        <v>8</v>
      </c>
      <c r="H132" s="3">
        <v>12</v>
      </c>
      <c r="I132" s="3">
        <v>30</v>
      </c>
      <c r="J132" s="3">
        <v>0</v>
      </c>
      <c r="K132" s="3">
        <v>12</v>
      </c>
    </row>
    <row r="133" spans="1:11" x14ac:dyDescent="0.3">
      <c r="A133" s="3" t="s">
        <v>225</v>
      </c>
      <c r="B133" s="3" t="s">
        <v>251</v>
      </c>
      <c r="C133" s="3">
        <v>130</v>
      </c>
      <c r="D133" s="3">
        <v>0</v>
      </c>
      <c r="E133" s="3">
        <v>5</v>
      </c>
      <c r="F133" s="3">
        <v>135</v>
      </c>
      <c r="G133" s="3">
        <v>9</v>
      </c>
      <c r="H133" s="3">
        <v>22</v>
      </c>
      <c r="I133" s="3">
        <v>30</v>
      </c>
      <c r="J133" s="3">
        <v>8</v>
      </c>
      <c r="K133" s="3">
        <v>23</v>
      </c>
    </row>
    <row r="134" spans="1:11" x14ac:dyDescent="0.3">
      <c r="A134" s="3" t="s">
        <v>225</v>
      </c>
      <c r="B134" s="3" t="s">
        <v>252</v>
      </c>
      <c r="C134" s="3">
        <v>80</v>
      </c>
      <c r="D134" s="3">
        <v>0</v>
      </c>
      <c r="E134" s="3">
        <v>0</v>
      </c>
      <c r="F134" s="3">
        <v>15</v>
      </c>
      <c r="G134" s="3">
        <v>0</v>
      </c>
      <c r="H134" s="3">
        <v>19</v>
      </c>
      <c r="I134" s="3">
        <v>10</v>
      </c>
      <c r="J134" s="3">
        <v>0</v>
      </c>
      <c r="K134" s="3">
        <v>21</v>
      </c>
    </row>
    <row r="135" spans="1:11" x14ac:dyDescent="0.3">
      <c r="A135" s="3" t="s">
        <v>225</v>
      </c>
      <c r="B135" s="3" t="s">
        <v>253</v>
      </c>
      <c r="C135" s="3">
        <v>150</v>
      </c>
      <c r="D135" s="3">
        <v>0</v>
      </c>
      <c r="E135" s="3">
        <v>0</v>
      </c>
      <c r="F135" s="3">
        <v>0</v>
      </c>
      <c r="G135" s="3">
        <v>2</v>
      </c>
      <c r="H135" s="3">
        <v>30</v>
      </c>
      <c r="I135" s="3">
        <v>2</v>
      </c>
      <c r="J135" s="3">
        <v>0</v>
      </c>
      <c r="K135" s="3">
        <v>34</v>
      </c>
    </row>
    <row r="136" spans="1:11" x14ac:dyDescent="0.3">
      <c r="A136" s="3" t="s">
        <v>225</v>
      </c>
      <c r="B136" s="3" t="s">
        <v>254</v>
      </c>
      <c r="C136" s="3">
        <v>190</v>
      </c>
      <c r="D136" s="3">
        <v>0</v>
      </c>
      <c r="E136" s="3">
        <v>0</v>
      </c>
      <c r="F136" s="3">
        <v>0</v>
      </c>
      <c r="G136" s="3">
        <v>3</v>
      </c>
      <c r="H136" s="3">
        <v>39</v>
      </c>
      <c r="I136" s="3">
        <v>4</v>
      </c>
      <c r="J136" s="3">
        <v>0</v>
      </c>
      <c r="K136" s="3">
        <v>44</v>
      </c>
    </row>
    <row r="137" spans="1:11" x14ac:dyDescent="0.3">
      <c r="A137" s="3" t="s">
        <v>225</v>
      </c>
      <c r="B137" s="3" t="s">
        <v>255</v>
      </c>
      <c r="C137" s="3">
        <v>280</v>
      </c>
      <c r="D137" s="3">
        <v>0</v>
      </c>
      <c r="E137" s="3">
        <v>0</v>
      </c>
      <c r="F137" s="3">
        <v>5</v>
      </c>
      <c r="G137" s="3">
        <v>4</v>
      </c>
      <c r="H137" s="3">
        <v>58</v>
      </c>
      <c r="I137" s="3">
        <v>4</v>
      </c>
      <c r="J137" s="3">
        <v>0</v>
      </c>
      <c r="K137" s="3">
        <v>65</v>
      </c>
    </row>
    <row r="138" spans="1:11" x14ac:dyDescent="0.3">
      <c r="A138" s="3" t="s">
        <v>225</v>
      </c>
      <c r="B138" s="3" t="s">
        <v>257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</row>
    <row r="139" spans="1:11" x14ac:dyDescent="0.3">
      <c r="A139" s="3" t="s">
        <v>258</v>
      </c>
      <c r="B139" s="3" t="s">
        <v>259</v>
      </c>
      <c r="C139" s="3">
        <v>0</v>
      </c>
      <c r="D139" s="3">
        <v>0</v>
      </c>
      <c r="E139" s="3">
        <v>0</v>
      </c>
      <c r="F139" s="3">
        <v>10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</row>
    <row r="140" spans="1:11" x14ac:dyDescent="0.3">
      <c r="A140" s="3" t="s">
        <v>258</v>
      </c>
      <c r="B140" s="3" t="s">
        <v>260</v>
      </c>
      <c r="C140" s="3">
        <v>0</v>
      </c>
      <c r="D140" s="3">
        <v>0</v>
      </c>
      <c r="E140" s="3">
        <v>0</v>
      </c>
      <c r="F140" s="3">
        <v>10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 x14ac:dyDescent="0.3">
      <c r="A141" s="3" t="s">
        <v>258</v>
      </c>
      <c r="B141" s="3" t="s">
        <v>261</v>
      </c>
      <c r="C141" s="3">
        <v>0</v>
      </c>
      <c r="D141" s="3">
        <v>0</v>
      </c>
      <c r="E141" s="3">
        <v>0</v>
      </c>
      <c r="F141" s="3">
        <v>15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</row>
    <row r="142" spans="1:11" x14ac:dyDescent="0.3">
      <c r="A142" s="3" t="s">
        <v>258</v>
      </c>
      <c r="B142" s="3" t="s">
        <v>262</v>
      </c>
      <c r="C142" s="3">
        <v>0</v>
      </c>
      <c r="D142" s="3">
        <v>0</v>
      </c>
      <c r="E142" s="3">
        <v>0</v>
      </c>
      <c r="F142" s="3">
        <v>5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</row>
    <row r="143" spans="1:11" x14ac:dyDescent="0.3">
      <c r="A143" s="3" t="s">
        <v>258</v>
      </c>
      <c r="B143" s="3" t="s">
        <v>263</v>
      </c>
      <c r="C143" s="3">
        <v>150</v>
      </c>
      <c r="D143" s="3">
        <v>0</v>
      </c>
      <c r="E143" s="3">
        <v>0</v>
      </c>
      <c r="F143" s="3">
        <v>10</v>
      </c>
      <c r="G143" s="3">
        <v>1</v>
      </c>
      <c r="H143" s="3">
        <v>36</v>
      </c>
      <c r="I143" s="3">
        <v>0</v>
      </c>
      <c r="J143" s="3">
        <v>0</v>
      </c>
      <c r="K143" s="3">
        <v>36</v>
      </c>
    </row>
    <row r="144" spans="1:11" x14ac:dyDescent="0.3">
      <c r="A144" s="3" t="s">
        <v>258</v>
      </c>
      <c r="B144" s="3" t="s">
        <v>264</v>
      </c>
      <c r="C144" s="3">
        <v>180</v>
      </c>
      <c r="D144" s="3">
        <v>0</v>
      </c>
      <c r="E144" s="3">
        <v>0</v>
      </c>
      <c r="F144" s="3">
        <v>10</v>
      </c>
      <c r="G144" s="3">
        <v>1</v>
      </c>
      <c r="H144" s="3">
        <v>45</v>
      </c>
      <c r="I144" s="3">
        <v>0</v>
      </c>
      <c r="J144" s="3">
        <v>0</v>
      </c>
      <c r="K144" s="3">
        <v>45</v>
      </c>
    </row>
    <row r="145" spans="1:11" x14ac:dyDescent="0.3">
      <c r="A145" s="3" t="s">
        <v>258</v>
      </c>
      <c r="B145" s="3" t="s">
        <v>265</v>
      </c>
      <c r="C145" s="3">
        <v>220</v>
      </c>
      <c r="D145" s="3">
        <v>0</v>
      </c>
      <c r="E145" s="3">
        <v>0</v>
      </c>
      <c r="F145" s="3">
        <v>10</v>
      </c>
      <c r="G145" s="3">
        <v>1</v>
      </c>
      <c r="H145" s="3">
        <v>54</v>
      </c>
      <c r="I145" s="3">
        <v>0</v>
      </c>
      <c r="J145" s="3">
        <v>0</v>
      </c>
      <c r="K145" s="3">
        <v>54</v>
      </c>
    </row>
    <row r="146" spans="1:11" x14ac:dyDescent="0.3">
      <c r="A146" s="3" t="s">
        <v>258</v>
      </c>
      <c r="B146" s="3" t="s">
        <v>266</v>
      </c>
      <c r="C146" s="3">
        <v>110</v>
      </c>
      <c r="D146" s="3">
        <v>0</v>
      </c>
      <c r="E146" s="3">
        <v>0</v>
      </c>
      <c r="F146" s="3">
        <v>5</v>
      </c>
      <c r="G146" s="3">
        <v>0</v>
      </c>
      <c r="H146" s="3">
        <v>27</v>
      </c>
      <c r="I146" s="3">
        <v>0</v>
      </c>
      <c r="J146" s="3">
        <v>0</v>
      </c>
      <c r="K146" s="3">
        <v>27</v>
      </c>
    </row>
    <row r="147" spans="1:11" x14ac:dyDescent="0.3">
      <c r="A147" s="3" t="s">
        <v>258</v>
      </c>
      <c r="B147" s="3" t="s">
        <v>267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 x14ac:dyDescent="0.3">
      <c r="A148" s="3" t="s">
        <v>258</v>
      </c>
      <c r="B148" s="3" t="s">
        <v>268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3">
      <c r="A149" s="3" t="s">
        <v>258</v>
      </c>
      <c r="B149" s="3" t="s">
        <v>269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 x14ac:dyDescent="0.3">
      <c r="A150" s="3" t="s">
        <v>258</v>
      </c>
      <c r="B150" s="3" t="s">
        <v>270</v>
      </c>
      <c r="C150" s="3">
        <v>170</v>
      </c>
      <c r="D150" s="3">
        <v>9</v>
      </c>
      <c r="E150" s="3">
        <v>25</v>
      </c>
      <c r="F150" s="3">
        <v>115</v>
      </c>
      <c r="G150" s="3">
        <v>9</v>
      </c>
      <c r="H150" s="3">
        <v>12</v>
      </c>
      <c r="I150" s="3">
        <v>30</v>
      </c>
      <c r="J150" s="3">
        <v>0</v>
      </c>
      <c r="K150" s="3">
        <v>15</v>
      </c>
    </row>
    <row r="151" spans="1:11" x14ac:dyDescent="0.3">
      <c r="A151" s="3" t="s">
        <v>258</v>
      </c>
      <c r="B151" s="3" t="s">
        <v>271</v>
      </c>
      <c r="C151" s="3">
        <v>210</v>
      </c>
      <c r="D151" s="3">
        <v>10</v>
      </c>
      <c r="E151" s="3">
        <v>30</v>
      </c>
      <c r="F151" s="3">
        <v>140</v>
      </c>
      <c r="G151" s="3">
        <v>11</v>
      </c>
      <c r="H151" s="3">
        <v>15</v>
      </c>
      <c r="I151" s="3">
        <v>35</v>
      </c>
      <c r="J151" s="3">
        <v>0</v>
      </c>
      <c r="K151" s="3">
        <v>18</v>
      </c>
    </row>
    <row r="152" spans="1:11" x14ac:dyDescent="0.3">
      <c r="A152" s="3" t="s">
        <v>258</v>
      </c>
      <c r="B152" s="3" t="s">
        <v>272</v>
      </c>
      <c r="C152" s="3">
        <v>280</v>
      </c>
      <c r="D152" s="3">
        <v>14</v>
      </c>
      <c r="E152" s="3">
        <v>40</v>
      </c>
      <c r="F152" s="3">
        <v>180</v>
      </c>
      <c r="G152" s="3">
        <v>15</v>
      </c>
      <c r="H152" s="3">
        <v>20</v>
      </c>
      <c r="I152" s="3">
        <v>50</v>
      </c>
      <c r="J152" s="3">
        <v>2</v>
      </c>
      <c r="K152" s="3">
        <v>24</v>
      </c>
    </row>
    <row r="153" spans="1:11" x14ac:dyDescent="0.3">
      <c r="A153" s="3" t="s">
        <v>258</v>
      </c>
      <c r="B153" s="3" t="s">
        <v>274</v>
      </c>
      <c r="C153" s="3">
        <v>270</v>
      </c>
      <c r="D153" s="3">
        <v>9</v>
      </c>
      <c r="E153" s="3">
        <v>25</v>
      </c>
      <c r="F153" s="3">
        <v>115</v>
      </c>
      <c r="G153" s="3">
        <v>9</v>
      </c>
      <c r="H153" s="3">
        <v>38</v>
      </c>
      <c r="I153" s="3">
        <v>30</v>
      </c>
      <c r="J153" s="3">
        <v>0</v>
      </c>
      <c r="K153" s="3">
        <v>40</v>
      </c>
    </row>
    <row r="154" spans="1:11" x14ac:dyDescent="0.3">
      <c r="A154" s="3" t="s">
        <v>258</v>
      </c>
      <c r="B154" s="3" t="s">
        <v>275</v>
      </c>
      <c r="C154" s="3">
        <v>340</v>
      </c>
      <c r="D154" s="3">
        <v>10</v>
      </c>
      <c r="E154" s="3">
        <v>30</v>
      </c>
      <c r="F154" s="3">
        <v>140</v>
      </c>
      <c r="G154" s="3">
        <v>11</v>
      </c>
      <c r="H154" s="3">
        <v>48</v>
      </c>
      <c r="I154" s="3">
        <v>35</v>
      </c>
      <c r="J154" s="3">
        <v>0</v>
      </c>
      <c r="K154" s="3">
        <v>50</v>
      </c>
    </row>
    <row r="155" spans="1:11" x14ac:dyDescent="0.3">
      <c r="A155" s="3" t="s">
        <v>258</v>
      </c>
      <c r="B155" s="3" t="s">
        <v>276</v>
      </c>
      <c r="C155" s="3">
        <v>430</v>
      </c>
      <c r="D155" s="3">
        <v>14</v>
      </c>
      <c r="E155" s="3">
        <v>40</v>
      </c>
      <c r="F155" s="3">
        <v>180</v>
      </c>
      <c r="G155" s="3">
        <v>15</v>
      </c>
      <c r="H155" s="3">
        <v>59</v>
      </c>
      <c r="I155" s="3">
        <v>50</v>
      </c>
      <c r="J155" s="3">
        <v>2</v>
      </c>
      <c r="K155" s="3">
        <v>62</v>
      </c>
    </row>
    <row r="156" spans="1:11" x14ac:dyDescent="0.3">
      <c r="A156" s="3" t="s">
        <v>258</v>
      </c>
      <c r="B156" s="3" t="s">
        <v>277</v>
      </c>
      <c r="C156" s="3">
        <v>270</v>
      </c>
      <c r="D156" s="3">
        <v>9</v>
      </c>
      <c r="E156" s="3">
        <v>25</v>
      </c>
      <c r="F156" s="3">
        <v>115</v>
      </c>
      <c r="G156" s="3">
        <v>9</v>
      </c>
      <c r="H156" s="3">
        <v>38</v>
      </c>
      <c r="I156" s="3">
        <v>30</v>
      </c>
      <c r="J156" s="3">
        <v>0</v>
      </c>
      <c r="K156" s="3">
        <v>40</v>
      </c>
    </row>
    <row r="157" spans="1:11" x14ac:dyDescent="0.3">
      <c r="A157" s="3" t="s">
        <v>258</v>
      </c>
      <c r="B157" s="3" t="s">
        <v>278</v>
      </c>
      <c r="C157" s="3">
        <v>330</v>
      </c>
      <c r="D157" s="3">
        <v>10</v>
      </c>
      <c r="E157" s="3">
        <v>30</v>
      </c>
      <c r="F157" s="3">
        <v>140</v>
      </c>
      <c r="G157" s="3">
        <v>11</v>
      </c>
      <c r="H157" s="3">
        <v>47</v>
      </c>
      <c r="I157" s="3">
        <v>35</v>
      </c>
      <c r="J157" s="3">
        <v>0</v>
      </c>
      <c r="K157" s="3">
        <v>50</v>
      </c>
    </row>
    <row r="158" spans="1:11" x14ac:dyDescent="0.3">
      <c r="A158" s="3" t="s">
        <v>258</v>
      </c>
      <c r="B158" s="3" t="s">
        <v>279</v>
      </c>
      <c r="C158" s="3">
        <v>430</v>
      </c>
      <c r="D158" s="3">
        <v>14</v>
      </c>
      <c r="E158" s="3">
        <v>40</v>
      </c>
      <c r="F158" s="3">
        <v>180</v>
      </c>
      <c r="G158" s="3">
        <v>15</v>
      </c>
      <c r="H158" s="3">
        <v>58</v>
      </c>
      <c r="I158" s="3">
        <v>50</v>
      </c>
      <c r="J158" s="3">
        <v>2</v>
      </c>
      <c r="K158" s="3">
        <v>62</v>
      </c>
    </row>
    <row r="159" spans="1:11" x14ac:dyDescent="0.3">
      <c r="A159" s="3" t="s">
        <v>258</v>
      </c>
      <c r="B159" s="3" t="s">
        <v>280</v>
      </c>
      <c r="C159" s="3">
        <v>260</v>
      </c>
      <c r="D159" s="3">
        <v>9</v>
      </c>
      <c r="E159" s="3">
        <v>25</v>
      </c>
      <c r="F159" s="3">
        <v>115</v>
      </c>
      <c r="G159" s="3">
        <v>9</v>
      </c>
      <c r="H159" s="3">
        <v>36</v>
      </c>
      <c r="I159" s="3">
        <v>30</v>
      </c>
      <c r="J159" s="3">
        <v>0</v>
      </c>
      <c r="K159" s="3">
        <v>38</v>
      </c>
    </row>
    <row r="160" spans="1:11" x14ac:dyDescent="0.3">
      <c r="A160" s="3" t="s">
        <v>258</v>
      </c>
      <c r="B160" s="3" t="s">
        <v>281</v>
      </c>
      <c r="C160" s="3">
        <v>330</v>
      </c>
      <c r="D160" s="3">
        <v>10</v>
      </c>
      <c r="E160" s="3">
        <v>30</v>
      </c>
      <c r="F160" s="3">
        <v>140</v>
      </c>
      <c r="G160" s="3">
        <v>11</v>
      </c>
      <c r="H160" s="3">
        <v>45</v>
      </c>
      <c r="I160" s="3">
        <v>35</v>
      </c>
      <c r="J160" s="3">
        <v>2</v>
      </c>
      <c r="K160" s="3">
        <v>48</v>
      </c>
    </row>
    <row r="161" spans="1:11" x14ac:dyDescent="0.3">
      <c r="A161" s="3" t="s">
        <v>258</v>
      </c>
      <c r="B161" s="3" t="s">
        <v>282</v>
      </c>
      <c r="C161" s="3">
        <v>420</v>
      </c>
      <c r="D161" s="3">
        <v>14</v>
      </c>
      <c r="E161" s="3">
        <v>40</v>
      </c>
      <c r="F161" s="3">
        <v>190</v>
      </c>
      <c r="G161" s="3">
        <v>15</v>
      </c>
      <c r="H161" s="3">
        <v>56</v>
      </c>
      <c r="I161" s="3">
        <v>50</v>
      </c>
      <c r="J161" s="3">
        <v>2</v>
      </c>
      <c r="K161" s="3">
        <v>60</v>
      </c>
    </row>
    <row r="162" spans="1:11" x14ac:dyDescent="0.3">
      <c r="A162" s="3" t="s">
        <v>258</v>
      </c>
      <c r="B162" s="3" t="s">
        <v>283</v>
      </c>
      <c r="C162" s="3">
        <v>210</v>
      </c>
      <c r="D162" s="3">
        <v>9</v>
      </c>
      <c r="E162" s="3">
        <v>25</v>
      </c>
      <c r="F162" s="3">
        <v>150</v>
      </c>
      <c r="G162" s="3">
        <v>9</v>
      </c>
      <c r="H162" s="3">
        <v>12</v>
      </c>
      <c r="I162" s="3">
        <v>30</v>
      </c>
      <c r="J162" s="3">
        <v>0</v>
      </c>
      <c r="K162" s="3">
        <v>24</v>
      </c>
    </row>
    <row r="163" spans="1:11" x14ac:dyDescent="0.3">
      <c r="A163" s="3" t="s">
        <v>258</v>
      </c>
      <c r="B163" s="3" t="s">
        <v>284</v>
      </c>
      <c r="C163" s="3">
        <v>260</v>
      </c>
      <c r="D163" s="3">
        <v>10</v>
      </c>
      <c r="E163" s="3">
        <v>30</v>
      </c>
      <c r="F163" s="3">
        <v>190</v>
      </c>
      <c r="G163" s="3">
        <v>12</v>
      </c>
      <c r="H163" s="3">
        <v>15</v>
      </c>
      <c r="I163" s="3">
        <v>35</v>
      </c>
      <c r="J163" s="3">
        <v>0</v>
      </c>
      <c r="K163" s="3">
        <v>29</v>
      </c>
    </row>
    <row r="164" spans="1:11" x14ac:dyDescent="0.3">
      <c r="A164" s="3" t="s">
        <v>258</v>
      </c>
      <c r="B164" s="3" t="s">
        <v>285</v>
      </c>
      <c r="C164" s="3">
        <v>330</v>
      </c>
      <c r="D164" s="3">
        <v>14</v>
      </c>
      <c r="E164" s="3">
        <v>40</v>
      </c>
      <c r="F164" s="3">
        <v>240</v>
      </c>
      <c r="G164" s="3">
        <v>15</v>
      </c>
      <c r="H164" s="3">
        <v>20</v>
      </c>
      <c r="I164" s="3">
        <v>50</v>
      </c>
      <c r="J164" s="3">
        <v>2</v>
      </c>
      <c r="K164" s="3">
        <v>37</v>
      </c>
    </row>
    <row r="165" spans="1:11" x14ac:dyDescent="0.3">
      <c r="A165" s="3" t="s">
        <v>258</v>
      </c>
      <c r="B165" s="3" t="s">
        <v>286</v>
      </c>
      <c r="C165" s="3">
        <v>100</v>
      </c>
      <c r="D165" s="3">
        <v>0</v>
      </c>
      <c r="E165" s="3">
        <v>5</v>
      </c>
      <c r="F165" s="3">
        <v>110</v>
      </c>
      <c r="G165" s="3">
        <v>10</v>
      </c>
      <c r="H165" s="3">
        <v>13</v>
      </c>
      <c r="I165" s="3">
        <v>30</v>
      </c>
      <c r="J165" s="3">
        <v>0</v>
      </c>
      <c r="K165" s="3">
        <v>15</v>
      </c>
    </row>
    <row r="166" spans="1:11" x14ac:dyDescent="0.3">
      <c r="A166" s="3" t="s">
        <v>258</v>
      </c>
      <c r="B166" s="3" t="s">
        <v>287</v>
      </c>
      <c r="C166" s="3">
        <v>130</v>
      </c>
      <c r="D166" s="3">
        <v>0</v>
      </c>
      <c r="E166" s="3">
        <v>5</v>
      </c>
      <c r="F166" s="3">
        <v>135</v>
      </c>
      <c r="G166" s="3">
        <v>12</v>
      </c>
      <c r="H166" s="3">
        <v>16</v>
      </c>
      <c r="I166" s="3">
        <v>40</v>
      </c>
      <c r="J166" s="3">
        <v>0</v>
      </c>
      <c r="K166" s="3">
        <v>19</v>
      </c>
    </row>
    <row r="167" spans="1:11" x14ac:dyDescent="0.3">
      <c r="A167" s="3" t="s">
        <v>258</v>
      </c>
      <c r="B167" s="3" t="s">
        <v>288</v>
      </c>
      <c r="C167" s="3">
        <v>170</v>
      </c>
      <c r="D167" s="3">
        <v>0.5</v>
      </c>
      <c r="E167" s="3">
        <v>10</v>
      </c>
      <c r="F167" s="3">
        <v>180</v>
      </c>
      <c r="G167" s="3">
        <v>16</v>
      </c>
      <c r="H167" s="3">
        <v>21</v>
      </c>
      <c r="I167" s="3">
        <v>50</v>
      </c>
      <c r="J167" s="3">
        <v>2</v>
      </c>
      <c r="K167" s="3">
        <v>25</v>
      </c>
    </row>
    <row r="168" spans="1:11" x14ac:dyDescent="0.3">
      <c r="A168" s="3" t="s">
        <v>258</v>
      </c>
      <c r="B168" s="3" t="s">
        <v>289</v>
      </c>
      <c r="C168" s="3">
        <v>200</v>
      </c>
      <c r="D168" s="3">
        <v>0</v>
      </c>
      <c r="E168" s="3">
        <v>5</v>
      </c>
      <c r="F168" s="3">
        <v>110</v>
      </c>
      <c r="G168" s="3">
        <v>10</v>
      </c>
      <c r="H168" s="3">
        <v>39</v>
      </c>
      <c r="I168" s="3">
        <v>30</v>
      </c>
      <c r="J168" s="3">
        <v>0</v>
      </c>
      <c r="K168" s="3">
        <v>41</v>
      </c>
    </row>
    <row r="169" spans="1:11" x14ac:dyDescent="0.3">
      <c r="A169" s="3" t="s">
        <v>258</v>
      </c>
      <c r="B169" s="3" t="s">
        <v>290</v>
      </c>
      <c r="C169" s="3">
        <v>250</v>
      </c>
      <c r="D169" s="3">
        <v>0</v>
      </c>
      <c r="E169" s="3">
        <v>5</v>
      </c>
      <c r="F169" s="3">
        <v>135</v>
      </c>
      <c r="G169" s="3">
        <v>12</v>
      </c>
      <c r="H169" s="3">
        <v>48</v>
      </c>
      <c r="I169" s="3">
        <v>40</v>
      </c>
      <c r="J169" s="3">
        <v>0</v>
      </c>
      <c r="K169" s="3">
        <v>51</v>
      </c>
    </row>
    <row r="170" spans="1:11" x14ac:dyDescent="0.3">
      <c r="A170" s="3" t="s">
        <v>258</v>
      </c>
      <c r="B170" s="3" t="s">
        <v>291</v>
      </c>
      <c r="C170" s="3">
        <v>310</v>
      </c>
      <c r="D170" s="3">
        <v>0.5</v>
      </c>
      <c r="E170" s="3">
        <v>10</v>
      </c>
      <c r="F170" s="3">
        <v>180</v>
      </c>
      <c r="G170" s="3">
        <v>16</v>
      </c>
      <c r="H170" s="3">
        <v>59</v>
      </c>
      <c r="I170" s="3">
        <v>50</v>
      </c>
      <c r="J170" s="3">
        <v>2</v>
      </c>
      <c r="K170" s="3">
        <v>63</v>
      </c>
    </row>
    <row r="171" spans="1:11" x14ac:dyDescent="0.3">
      <c r="A171" s="3" t="s">
        <v>258</v>
      </c>
      <c r="B171" s="3" t="s">
        <v>292</v>
      </c>
      <c r="C171" s="3">
        <v>200</v>
      </c>
      <c r="D171" s="3">
        <v>0</v>
      </c>
      <c r="E171" s="3">
        <v>5</v>
      </c>
      <c r="F171" s="3">
        <v>110</v>
      </c>
      <c r="G171" s="3">
        <v>10</v>
      </c>
      <c r="H171" s="3">
        <v>38</v>
      </c>
      <c r="I171" s="3">
        <v>30</v>
      </c>
      <c r="J171" s="3">
        <v>0</v>
      </c>
      <c r="K171" s="3">
        <v>40</v>
      </c>
    </row>
    <row r="172" spans="1:11" x14ac:dyDescent="0.3">
      <c r="A172" s="3" t="s">
        <v>258</v>
      </c>
      <c r="B172" s="3" t="s">
        <v>293</v>
      </c>
      <c r="C172" s="3">
        <v>250</v>
      </c>
      <c r="D172" s="3">
        <v>0</v>
      </c>
      <c r="E172" s="3">
        <v>5</v>
      </c>
      <c r="F172" s="3">
        <v>135</v>
      </c>
      <c r="G172" s="3">
        <v>12</v>
      </c>
      <c r="H172" s="3">
        <v>48</v>
      </c>
      <c r="I172" s="3">
        <v>40</v>
      </c>
      <c r="J172" s="3">
        <v>0</v>
      </c>
      <c r="K172" s="3">
        <v>51</v>
      </c>
    </row>
    <row r="173" spans="1:11" x14ac:dyDescent="0.3">
      <c r="A173" s="3" t="s">
        <v>258</v>
      </c>
      <c r="B173" s="3" t="s">
        <v>294</v>
      </c>
      <c r="C173" s="3">
        <v>310</v>
      </c>
      <c r="D173" s="3">
        <v>0.5</v>
      </c>
      <c r="E173" s="3">
        <v>10</v>
      </c>
      <c r="F173" s="3">
        <v>180</v>
      </c>
      <c r="G173" s="3">
        <v>16</v>
      </c>
      <c r="H173" s="3">
        <v>59</v>
      </c>
      <c r="I173" s="3">
        <v>50</v>
      </c>
      <c r="J173" s="3">
        <v>2</v>
      </c>
      <c r="K173" s="3">
        <v>63</v>
      </c>
    </row>
    <row r="174" spans="1:11" x14ac:dyDescent="0.3">
      <c r="A174" s="3" t="s">
        <v>258</v>
      </c>
      <c r="B174" s="3" t="s">
        <v>295</v>
      </c>
      <c r="C174" s="3">
        <v>190</v>
      </c>
      <c r="D174" s="3">
        <v>0</v>
      </c>
      <c r="E174" s="3">
        <v>5</v>
      </c>
      <c r="F174" s="3">
        <v>115</v>
      </c>
      <c r="G174" s="3">
        <v>10</v>
      </c>
      <c r="H174" s="3">
        <v>37</v>
      </c>
      <c r="I174" s="3">
        <v>30</v>
      </c>
      <c r="J174" s="3">
        <v>0</v>
      </c>
      <c r="K174" s="3">
        <v>39</v>
      </c>
    </row>
    <row r="175" spans="1:11" x14ac:dyDescent="0.3">
      <c r="A175" s="3" t="s">
        <v>258</v>
      </c>
      <c r="B175" s="3" t="s">
        <v>296</v>
      </c>
      <c r="C175" s="3">
        <v>240</v>
      </c>
      <c r="D175" s="3">
        <v>0</v>
      </c>
      <c r="E175" s="3">
        <v>5</v>
      </c>
      <c r="F175" s="3">
        <v>140</v>
      </c>
      <c r="G175" s="3">
        <v>12</v>
      </c>
      <c r="H175" s="3">
        <v>46</v>
      </c>
      <c r="I175" s="3">
        <v>40</v>
      </c>
      <c r="J175" s="3">
        <v>2</v>
      </c>
      <c r="K175" s="3">
        <v>49</v>
      </c>
    </row>
    <row r="176" spans="1:11" x14ac:dyDescent="0.3">
      <c r="A176" s="3" t="s">
        <v>258</v>
      </c>
      <c r="B176" s="3" t="s">
        <v>297</v>
      </c>
      <c r="C176" s="3">
        <v>300</v>
      </c>
      <c r="D176" s="3">
        <v>0.5</v>
      </c>
      <c r="E176" s="3">
        <v>10</v>
      </c>
      <c r="F176" s="3">
        <v>180</v>
      </c>
      <c r="G176" s="3">
        <v>16</v>
      </c>
      <c r="H176" s="3">
        <v>56</v>
      </c>
      <c r="I176" s="3">
        <v>50</v>
      </c>
      <c r="J176" s="3">
        <v>2</v>
      </c>
      <c r="K176" s="3">
        <v>60</v>
      </c>
    </row>
    <row r="177" spans="1:11" x14ac:dyDescent="0.3">
      <c r="A177" s="3" t="s">
        <v>258</v>
      </c>
      <c r="B177" s="3" t="s">
        <v>298</v>
      </c>
      <c r="C177" s="3">
        <v>140</v>
      </c>
      <c r="D177" s="3">
        <v>0</v>
      </c>
      <c r="E177" s="3">
        <v>5</v>
      </c>
      <c r="F177" s="3">
        <v>150</v>
      </c>
      <c r="G177" s="3">
        <v>10</v>
      </c>
      <c r="H177" s="3">
        <v>13</v>
      </c>
      <c r="I177" s="3">
        <v>30</v>
      </c>
      <c r="J177" s="3">
        <v>0</v>
      </c>
      <c r="K177" s="3">
        <v>24</v>
      </c>
    </row>
    <row r="178" spans="1:11" x14ac:dyDescent="0.3">
      <c r="A178" s="3" t="s">
        <v>258</v>
      </c>
      <c r="B178" s="3" t="s">
        <v>299</v>
      </c>
      <c r="C178" s="3">
        <v>170</v>
      </c>
      <c r="D178" s="3">
        <v>0</v>
      </c>
      <c r="E178" s="3">
        <v>5</v>
      </c>
      <c r="F178" s="3">
        <v>180</v>
      </c>
      <c r="G178" s="3">
        <v>12</v>
      </c>
      <c r="H178" s="3">
        <v>16</v>
      </c>
      <c r="I178" s="3">
        <v>40</v>
      </c>
      <c r="J178" s="3">
        <v>0</v>
      </c>
      <c r="K178" s="3">
        <v>30</v>
      </c>
    </row>
    <row r="179" spans="1:11" x14ac:dyDescent="0.3">
      <c r="A179" s="3" t="s">
        <v>258</v>
      </c>
      <c r="B179" s="3" t="s">
        <v>300</v>
      </c>
      <c r="C179" s="3">
        <v>220</v>
      </c>
      <c r="D179" s="3">
        <v>0.5</v>
      </c>
      <c r="E179" s="3">
        <v>10</v>
      </c>
      <c r="F179" s="3">
        <v>240</v>
      </c>
      <c r="G179" s="3">
        <v>16</v>
      </c>
      <c r="H179" s="3">
        <v>21</v>
      </c>
      <c r="I179" s="3">
        <v>50</v>
      </c>
      <c r="J179" s="3">
        <v>2</v>
      </c>
      <c r="K179" s="3">
        <v>38</v>
      </c>
    </row>
    <row r="180" spans="1:11" x14ac:dyDescent="0.3">
      <c r="A180" s="3" t="s">
        <v>258</v>
      </c>
      <c r="B180" s="3" t="s">
        <v>301</v>
      </c>
      <c r="C180" s="3">
        <v>340</v>
      </c>
      <c r="D180" s="3">
        <v>11</v>
      </c>
      <c r="E180" s="3">
        <v>35</v>
      </c>
      <c r="F180" s="3">
        <v>150</v>
      </c>
      <c r="G180" s="3">
        <v>10</v>
      </c>
      <c r="H180" s="3">
        <v>42</v>
      </c>
      <c r="I180" s="3">
        <v>30</v>
      </c>
      <c r="J180" s="3">
        <v>6</v>
      </c>
      <c r="K180" s="3">
        <v>49</v>
      </c>
    </row>
    <row r="181" spans="1:11" x14ac:dyDescent="0.3">
      <c r="A181" s="3" t="s">
        <v>258</v>
      </c>
      <c r="B181" s="3" t="s">
        <v>302</v>
      </c>
      <c r="C181" s="3">
        <v>410</v>
      </c>
      <c r="D181" s="3">
        <v>14</v>
      </c>
      <c r="E181" s="3">
        <v>40</v>
      </c>
      <c r="F181" s="3">
        <v>190</v>
      </c>
      <c r="G181" s="3">
        <v>13</v>
      </c>
      <c r="H181" s="3">
        <v>53</v>
      </c>
      <c r="I181" s="3">
        <v>40</v>
      </c>
      <c r="J181" s="3">
        <v>6</v>
      </c>
      <c r="K181" s="3">
        <v>60</v>
      </c>
    </row>
    <row r="182" spans="1:11" x14ac:dyDescent="0.3">
      <c r="A182" s="3" t="s">
        <v>258</v>
      </c>
      <c r="B182" s="3" t="s">
        <v>303</v>
      </c>
      <c r="C182" s="3">
        <v>500</v>
      </c>
      <c r="D182" s="3">
        <v>17</v>
      </c>
      <c r="E182" s="3">
        <v>50</v>
      </c>
      <c r="F182" s="3">
        <v>240</v>
      </c>
      <c r="G182" s="3">
        <v>16</v>
      </c>
      <c r="H182" s="3">
        <v>63</v>
      </c>
      <c r="I182" s="3">
        <v>50</v>
      </c>
      <c r="J182" s="3">
        <v>8</v>
      </c>
      <c r="K182" s="3">
        <v>72</v>
      </c>
    </row>
    <row r="183" spans="1:11" x14ac:dyDescent="0.3">
      <c r="A183" s="3" t="s">
        <v>258</v>
      </c>
      <c r="B183" s="3" t="s">
        <v>304</v>
      </c>
      <c r="C183" s="3">
        <v>270</v>
      </c>
      <c r="D183" s="3">
        <v>3.5</v>
      </c>
      <c r="E183" s="3">
        <v>15</v>
      </c>
      <c r="F183" s="3">
        <v>150</v>
      </c>
      <c r="G183" s="3">
        <v>11</v>
      </c>
      <c r="H183" s="3">
        <v>43</v>
      </c>
      <c r="I183" s="3">
        <v>35</v>
      </c>
      <c r="J183" s="3">
        <v>6</v>
      </c>
      <c r="K183" s="3">
        <v>49</v>
      </c>
    </row>
    <row r="184" spans="1:11" x14ac:dyDescent="0.3">
      <c r="A184" s="3" t="s">
        <v>258</v>
      </c>
      <c r="B184" s="3" t="s">
        <v>305</v>
      </c>
      <c r="C184" s="3">
        <v>330</v>
      </c>
      <c r="D184" s="3">
        <v>3.5</v>
      </c>
      <c r="E184" s="3">
        <v>15</v>
      </c>
      <c r="F184" s="3">
        <v>190</v>
      </c>
      <c r="G184" s="3">
        <v>13</v>
      </c>
      <c r="H184" s="3">
        <v>53</v>
      </c>
      <c r="I184" s="3">
        <v>40</v>
      </c>
      <c r="J184" s="3">
        <v>6</v>
      </c>
      <c r="K184" s="3">
        <v>60</v>
      </c>
    </row>
    <row r="185" spans="1:11" x14ac:dyDescent="0.3">
      <c r="A185" s="3" t="s">
        <v>258</v>
      </c>
      <c r="B185" s="3" t="s">
        <v>306</v>
      </c>
      <c r="C185" s="3">
        <v>390</v>
      </c>
      <c r="D185" s="3">
        <v>4</v>
      </c>
      <c r="E185" s="3">
        <v>20</v>
      </c>
      <c r="F185" s="3">
        <v>240</v>
      </c>
      <c r="G185" s="3">
        <v>17</v>
      </c>
      <c r="H185" s="3">
        <v>64</v>
      </c>
      <c r="I185" s="3">
        <v>50</v>
      </c>
      <c r="J185" s="3">
        <v>8</v>
      </c>
      <c r="K185" s="3">
        <v>73</v>
      </c>
    </row>
    <row r="186" spans="1:11" x14ac:dyDescent="0.3">
      <c r="A186" s="3" t="s">
        <v>258</v>
      </c>
      <c r="B186" s="3" t="s">
        <v>307</v>
      </c>
      <c r="C186" s="3">
        <v>320</v>
      </c>
      <c r="D186" s="3">
        <v>11</v>
      </c>
      <c r="E186" s="3">
        <v>35</v>
      </c>
      <c r="F186" s="3">
        <v>170</v>
      </c>
      <c r="G186" s="3">
        <v>10</v>
      </c>
      <c r="H186" s="3">
        <v>40</v>
      </c>
      <c r="I186" s="3">
        <v>30</v>
      </c>
      <c r="J186" s="3">
        <v>2</v>
      </c>
      <c r="K186" s="3">
        <v>45</v>
      </c>
    </row>
    <row r="187" spans="1:11" x14ac:dyDescent="0.3">
      <c r="A187" s="3" t="s">
        <v>258</v>
      </c>
      <c r="B187" s="3" t="s">
        <v>308</v>
      </c>
      <c r="C187" s="3">
        <v>390</v>
      </c>
      <c r="D187" s="3">
        <v>14</v>
      </c>
      <c r="E187" s="3">
        <v>40</v>
      </c>
      <c r="F187" s="3">
        <v>220</v>
      </c>
      <c r="G187" s="3">
        <v>12</v>
      </c>
      <c r="H187" s="3">
        <v>50</v>
      </c>
      <c r="I187" s="3">
        <v>40</v>
      </c>
      <c r="J187" s="3">
        <v>2</v>
      </c>
      <c r="K187" s="3">
        <v>55</v>
      </c>
    </row>
    <row r="188" spans="1:11" x14ac:dyDescent="0.3">
      <c r="A188" s="3" t="s">
        <v>258</v>
      </c>
      <c r="B188" s="3" t="s">
        <v>309</v>
      </c>
      <c r="C188" s="3">
        <v>480</v>
      </c>
      <c r="D188" s="3">
        <v>17</v>
      </c>
      <c r="E188" s="3">
        <v>50</v>
      </c>
      <c r="F188" s="3">
        <v>270</v>
      </c>
      <c r="G188" s="3">
        <v>16</v>
      </c>
      <c r="H188" s="3">
        <v>60</v>
      </c>
      <c r="I188" s="3">
        <v>50</v>
      </c>
      <c r="J188" s="3">
        <v>4</v>
      </c>
      <c r="K188" s="3">
        <v>66</v>
      </c>
    </row>
    <row r="189" spans="1:11" x14ac:dyDescent="0.3">
      <c r="A189" s="3" t="s">
        <v>258</v>
      </c>
      <c r="B189" s="3" t="s">
        <v>310</v>
      </c>
      <c r="C189" s="3">
        <v>250</v>
      </c>
      <c r="D189" s="3">
        <v>3.5</v>
      </c>
      <c r="E189" s="3">
        <v>15</v>
      </c>
      <c r="F189" s="3">
        <v>170</v>
      </c>
      <c r="G189" s="3">
        <v>10</v>
      </c>
      <c r="H189" s="3">
        <v>41</v>
      </c>
      <c r="I189" s="3">
        <v>35</v>
      </c>
      <c r="J189" s="3">
        <v>2</v>
      </c>
      <c r="K189" s="3">
        <v>45</v>
      </c>
    </row>
    <row r="190" spans="1:11" x14ac:dyDescent="0.3">
      <c r="A190" s="3" t="s">
        <v>258</v>
      </c>
      <c r="B190" s="3" t="s">
        <v>311</v>
      </c>
      <c r="C190" s="3">
        <v>310</v>
      </c>
      <c r="D190" s="3">
        <v>3.5</v>
      </c>
      <c r="E190" s="3">
        <v>15</v>
      </c>
      <c r="F190" s="3">
        <v>210</v>
      </c>
      <c r="G190" s="3">
        <v>13</v>
      </c>
      <c r="H190" s="3">
        <v>51</v>
      </c>
      <c r="I190" s="3">
        <v>40</v>
      </c>
      <c r="J190" s="3">
        <v>2</v>
      </c>
      <c r="K190" s="3">
        <v>56</v>
      </c>
    </row>
    <row r="191" spans="1:11" x14ac:dyDescent="0.3">
      <c r="A191" s="3" t="s">
        <v>258</v>
      </c>
      <c r="B191" s="3" t="s">
        <v>312</v>
      </c>
      <c r="C191" s="3">
        <v>370</v>
      </c>
      <c r="D191" s="3">
        <v>3.5</v>
      </c>
      <c r="E191" s="3">
        <v>20</v>
      </c>
      <c r="F191" s="3">
        <v>270</v>
      </c>
      <c r="G191" s="3">
        <v>17</v>
      </c>
      <c r="H191" s="3">
        <v>61</v>
      </c>
      <c r="I191" s="3">
        <v>50</v>
      </c>
      <c r="J191" s="3">
        <v>4</v>
      </c>
      <c r="K191" s="3">
        <v>67</v>
      </c>
    </row>
    <row r="192" spans="1:11" x14ac:dyDescent="0.3">
      <c r="A192" s="3" t="s">
        <v>258</v>
      </c>
      <c r="B192" s="3" t="s">
        <v>313</v>
      </c>
      <c r="C192" s="3">
        <v>360</v>
      </c>
      <c r="D192" s="3">
        <v>13</v>
      </c>
      <c r="E192" s="3">
        <v>40</v>
      </c>
      <c r="F192" s="3">
        <v>180</v>
      </c>
      <c r="G192" s="3">
        <v>11</v>
      </c>
      <c r="H192" s="3">
        <v>45</v>
      </c>
      <c r="I192" s="3">
        <v>40</v>
      </c>
      <c r="J192" s="3">
        <v>6</v>
      </c>
      <c r="K192" s="3">
        <v>50</v>
      </c>
    </row>
    <row r="193" spans="1:11" x14ac:dyDescent="0.3">
      <c r="A193" s="3" t="s">
        <v>258</v>
      </c>
      <c r="B193" s="3" t="s">
        <v>314</v>
      </c>
      <c r="C193" s="3">
        <v>440</v>
      </c>
      <c r="D193" s="3">
        <v>16</v>
      </c>
      <c r="E193" s="3">
        <v>50</v>
      </c>
      <c r="F193" s="3">
        <v>220</v>
      </c>
      <c r="G193" s="3">
        <v>14</v>
      </c>
      <c r="H193" s="3">
        <v>56</v>
      </c>
      <c r="I193" s="3">
        <v>45</v>
      </c>
      <c r="J193" s="3">
        <v>6</v>
      </c>
      <c r="K193" s="3">
        <v>61</v>
      </c>
    </row>
    <row r="194" spans="1:11" x14ac:dyDescent="0.3">
      <c r="A194" s="3" t="s">
        <v>258</v>
      </c>
      <c r="B194" s="3" t="s">
        <v>315</v>
      </c>
      <c r="C194" s="3">
        <v>540</v>
      </c>
      <c r="D194" s="3">
        <v>20</v>
      </c>
      <c r="E194" s="3">
        <v>60</v>
      </c>
      <c r="F194" s="3">
        <v>280</v>
      </c>
      <c r="G194" s="3">
        <v>17</v>
      </c>
      <c r="H194" s="3">
        <v>68</v>
      </c>
      <c r="I194" s="3">
        <v>60</v>
      </c>
      <c r="J194" s="3">
        <v>8</v>
      </c>
      <c r="K194" s="3">
        <v>73</v>
      </c>
    </row>
    <row r="195" spans="1:11" x14ac:dyDescent="0.3">
      <c r="A195" s="3" t="s">
        <v>258</v>
      </c>
      <c r="B195" s="3" t="s">
        <v>316</v>
      </c>
      <c r="C195" s="3">
        <v>280</v>
      </c>
      <c r="D195" s="3">
        <v>3.5</v>
      </c>
      <c r="E195" s="3">
        <v>15</v>
      </c>
      <c r="F195" s="3">
        <v>180</v>
      </c>
      <c r="G195" s="3">
        <v>12</v>
      </c>
      <c r="H195" s="3">
        <v>46</v>
      </c>
      <c r="I195" s="3">
        <v>40</v>
      </c>
      <c r="J195" s="3">
        <v>6</v>
      </c>
      <c r="K195" s="3">
        <v>50</v>
      </c>
    </row>
    <row r="196" spans="1:11" x14ac:dyDescent="0.3">
      <c r="A196" s="3" t="s">
        <v>258</v>
      </c>
      <c r="B196" s="3" t="s">
        <v>317</v>
      </c>
      <c r="C196" s="3">
        <v>340</v>
      </c>
      <c r="D196" s="3">
        <v>3.5</v>
      </c>
      <c r="E196" s="3">
        <v>15</v>
      </c>
      <c r="F196" s="3">
        <v>220</v>
      </c>
      <c r="G196" s="3">
        <v>14</v>
      </c>
      <c r="H196" s="3">
        <v>57</v>
      </c>
      <c r="I196" s="3">
        <v>50</v>
      </c>
      <c r="J196" s="3">
        <v>6</v>
      </c>
      <c r="K196" s="3">
        <v>61</v>
      </c>
    </row>
    <row r="197" spans="1:11" x14ac:dyDescent="0.3">
      <c r="A197" s="3" t="s">
        <v>258</v>
      </c>
      <c r="B197" s="3" t="s">
        <v>318</v>
      </c>
      <c r="C197" s="3">
        <v>400</v>
      </c>
      <c r="D197" s="3">
        <v>3.5</v>
      </c>
      <c r="E197" s="3">
        <v>20</v>
      </c>
      <c r="F197" s="3">
        <v>280</v>
      </c>
      <c r="G197" s="3">
        <v>19</v>
      </c>
      <c r="H197" s="3">
        <v>69</v>
      </c>
      <c r="I197" s="3">
        <v>60</v>
      </c>
      <c r="J197" s="3">
        <v>8</v>
      </c>
      <c r="K197" s="3">
        <v>74</v>
      </c>
    </row>
    <row r="198" spans="1:11" x14ac:dyDescent="0.3">
      <c r="A198" s="3" t="s">
        <v>258</v>
      </c>
      <c r="B198" s="3" t="s">
        <v>319</v>
      </c>
      <c r="C198" s="3">
        <v>140</v>
      </c>
      <c r="D198" s="3">
        <v>4.5</v>
      </c>
      <c r="E198" s="3">
        <v>15</v>
      </c>
      <c r="F198" s="3">
        <v>35</v>
      </c>
      <c r="G198" s="3">
        <v>1</v>
      </c>
      <c r="H198" s="3">
        <v>22</v>
      </c>
      <c r="I198" s="3">
        <v>4</v>
      </c>
      <c r="J198" s="3">
        <v>0</v>
      </c>
      <c r="K198" s="3">
        <v>23</v>
      </c>
    </row>
    <row r="199" spans="1:11" x14ac:dyDescent="0.3">
      <c r="A199" s="3" t="s">
        <v>258</v>
      </c>
      <c r="B199" s="3" t="s">
        <v>320</v>
      </c>
      <c r="C199" s="3">
        <v>190</v>
      </c>
      <c r="D199" s="3">
        <v>7</v>
      </c>
      <c r="E199" s="3">
        <v>25</v>
      </c>
      <c r="F199" s="3">
        <v>50</v>
      </c>
      <c r="G199" s="3">
        <v>1</v>
      </c>
      <c r="H199" s="3">
        <v>30</v>
      </c>
      <c r="I199" s="3">
        <v>4</v>
      </c>
      <c r="J199" s="3">
        <v>0</v>
      </c>
      <c r="K199" s="3">
        <v>31</v>
      </c>
    </row>
    <row r="200" spans="1:11" x14ac:dyDescent="0.3">
      <c r="A200" s="3" t="s">
        <v>258</v>
      </c>
      <c r="B200" s="3" t="s">
        <v>321</v>
      </c>
      <c r="C200" s="3">
        <v>270</v>
      </c>
      <c r="D200" s="3">
        <v>9</v>
      </c>
      <c r="E200" s="3">
        <v>35</v>
      </c>
      <c r="F200" s="3">
        <v>75</v>
      </c>
      <c r="G200" s="3">
        <v>2</v>
      </c>
      <c r="H200" s="3">
        <v>45</v>
      </c>
      <c r="I200" s="3">
        <v>8</v>
      </c>
      <c r="J200" s="3">
        <v>0</v>
      </c>
      <c r="K200" s="3">
        <v>47</v>
      </c>
    </row>
    <row r="201" spans="1:11" x14ac:dyDescent="0.3">
      <c r="A201" s="3" t="s">
        <v>258</v>
      </c>
      <c r="B201" s="3" t="s">
        <v>323</v>
      </c>
      <c r="C201" s="3">
        <v>130</v>
      </c>
      <c r="D201" s="3">
        <v>4.5</v>
      </c>
      <c r="E201" s="3">
        <v>15</v>
      </c>
      <c r="F201" s="3">
        <v>35</v>
      </c>
      <c r="G201" s="3">
        <v>1</v>
      </c>
      <c r="H201" s="3">
        <v>21</v>
      </c>
      <c r="I201" s="3">
        <v>4</v>
      </c>
      <c r="J201" s="3">
        <v>0</v>
      </c>
      <c r="K201" s="3">
        <v>22</v>
      </c>
    </row>
    <row r="202" spans="1:11" x14ac:dyDescent="0.3">
      <c r="A202" s="3" t="s">
        <v>258</v>
      </c>
      <c r="B202" s="3" t="s">
        <v>324</v>
      </c>
      <c r="C202" s="3">
        <v>180</v>
      </c>
      <c r="D202" s="3">
        <v>7</v>
      </c>
      <c r="E202" s="3">
        <v>25</v>
      </c>
      <c r="F202" s="3">
        <v>50</v>
      </c>
      <c r="G202" s="3">
        <v>1</v>
      </c>
      <c r="H202" s="3">
        <v>28</v>
      </c>
      <c r="I202" s="3">
        <v>4</v>
      </c>
      <c r="J202" s="3">
        <v>0</v>
      </c>
      <c r="K202" s="3">
        <v>29</v>
      </c>
    </row>
    <row r="203" spans="1:11" x14ac:dyDescent="0.3">
      <c r="A203" s="3" t="s">
        <v>258</v>
      </c>
      <c r="B203" s="3" t="s">
        <v>325</v>
      </c>
      <c r="C203" s="3">
        <v>260</v>
      </c>
      <c r="D203" s="3">
        <v>9</v>
      </c>
      <c r="E203" s="3">
        <v>35</v>
      </c>
      <c r="F203" s="3">
        <v>65</v>
      </c>
      <c r="G203" s="3">
        <v>2</v>
      </c>
      <c r="H203" s="3">
        <v>42</v>
      </c>
      <c r="I203" s="3">
        <v>6</v>
      </c>
      <c r="J203" s="3">
        <v>0</v>
      </c>
      <c r="K203" s="3">
        <v>43</v>
      </c>
    </row>
    <row r="204" spans="1:11" x14ac:dyDescent="0.3">
      <c r="A204" s="3" t="s">
        <v>258</v>
      </c>
      <c r="B204" s="3" t="s">
        <v>326</v>
      </c>
      <c r="C204" s="3">
        <v>130</v>
      </c>
      <c r="D204" s="3">
        <v>4.5</v>
      </c>
      <c r="E204" s="3">
        <v>15</v>
      </c>
      <c r="F204" s="3">
        <v>35</v>
      </c>
      <c r="G204" s="3">
        <v>1</v>
      </c>
      <c r="H204" s="3">
        <v>20</v>
      </c>
      <c r="I204" s="3">
        <v>4</v>
      </c>
      <c r="J204" s="3">
        <v>0</v>
      </c>
      <c r="K204" s="3">
        <v>21</v>
      </c>
    </row>
    <row r="205" spans="1:11" x14ac:dyDescent="0.3">
      <c r="A205" s="3" t="s">
        <v>258</v>
      </c>
      <c r="B205" s="3" t="s">
        <v>327</v>
      </c>
      <c r="C205" s="3">
        <v>180</v>
      </c>
      <c r="D205" s="3">
        <v>7</v>
      </c>
      <c r="E205" s="3">
        <v>25</v>
      </c>
      <c r="F205" s="3">
        <v>50</v>
      </c>
      <c r="G205" s="3">
        <v>1</v>
      </c>
      <c r="H205" s="3">
        <v>28</v>
      </c>
      <c r="I205" s="3">
        <v>4</v>
      </c>
      <c r="J205" s="3">
        <v>0</v>
      </c>
      <c r="K205" s="3">
        <v>29</v>
      </c>
    </row>
    <row r="206" spans="1:11" x14ac:dyDescent="0.3">
      <c r="A206" s="3" t="s">
        <v>258</v>
      </c>
      <c r="B206" s="3" t="s">
        <v>328</v>
      </c>
      <c r="C206" s="3">
        <v>250</v>
      </c>
      <c r="D206" s="3">
        <v>9</v>
      </c>
      <c r="E206" s="3">
        <v>35</v>
      </c>
      <c r="F206" s="3">
        <v>75</v>
      </c>
      <c r="G206" s="3">
        <v>2</v>
      </c>
      <c r="H206" s="3">
        <v>41</v>
      </c>
      <c r="I206" s="3">
        <v>8</v>
      </c>
      <c r="J206" s="3">
        <v>0</v>
      </c>
      <c r="K206" s="3">
        <v>43</v>
      </c>
    </row>
    <row r="207" spans="1:11" x14ac:dyDescent="0.3">
      <c r="A207" s="3" t="s">
        <v>258</v>
      </c>
      <c r="B207" s="3" t="s">
        <v>329</v>
      </c>
      <c r="C207" s="3">
        <v>120</v>
      </c>
      <c r="D207" s="3">
        <v>4.5</v>
      </c>
      <c r="E207" s="3">
        <v>15</v>
      </c>
      <c r="F207" s="3">
        <v>40</v>
      </c>
      <c r="G207" s="3">
        <v>1</v>
      </c>
      <c r="H207" s="3">
        <v>19</v>
      </c>
      <c r="I207" s="3">
        <v>4</v>
      </c>
      <c r="J207" s="3">
        <v>0</v>
      </c>
      <c r="K207" s="3">
        <v>20</v>
      </c>
    </row>
    <row r="208" spans="1:11" x14ac:dyDescent="0.3">
      <c r="A208" s="3" t="s">
        <v>258</v>
      </c>
      <c r="B208" s="3" t="s">
        <v>330</v>
      </c>
      <c r="C208" s="3">
        <v>170</v>
      </c>
      <c r="D208" s="3">
        <v>7</v>
      </c>
      <c r="E208" s="3">
        <v>25</v>
      </c>
      <c r="F208" s="3">
        <v>55</v>
      </c>
      <c r="G208" s="3">
        <v>1</v>
      </c>
      <c r="H208" s="3">
        <v>26</v>
      </c>
      <c r="I208" s="3">
        <v>4</v>
      </c>
      <c r="J208" s="3">
        <v>0</v>
      </c>
      <c r="K208" s="3">
        <v>27</v>
      </c>
    </row>
    <row r="209" spans="1:11" x14ac:dyDescent="0.3">
      <c r="A209" s="3" t="s">
        <v>258</v>
      </c>
      <c r="B209" s="3" t="s">
        <v>331</v>
      </c>
      <c r="C209" s="3">
        <v>240</v>
      </c>
      <c r="D209" s="3">
        <v>9</v>
      </c>
      <c r="E209" s="3">
        <v>35</v>
      </c>
      <c r="F209" s="3">
        <v>80</v>
      </c>
      <c r="G209" s="3">
        <v>2</v>
      </c>
      <c r="H209" s="3">
        <v>39</v>
      </c>
      <c r="I209" s="3">
        <v>8</v>
      </c>
      <c r="J209" s="3">
        <v>0</v>
      </c>
      <c r="K209" s="3">
        <v>41</v>
      </c>
    </row>
    <row r="210" spans="1:11" x14ac:dyDescent="0.3">
      <c r="A210" s="3" t="s">
        <v>258</v>
      </c>
      <c r="B210" s="3" t="s">
        <v>332</v>
      </c>
      <c r="C210" s="3">
        <v>80</v>
      </c>
      <c r="D210" s="3">
        <v>4.5</v>
      </c>
      <c r="E210" s="3">
        <v>15</v>
      </c>
      <c r="F210" s="3">
        <v>65</v>
      </c>
      <c r="G210" s="3">
        <v>1</v>
      </c>
      <c r="H210" s="3">
        <v>1</v>
      </c>
      <c r="I210" s="3">
        <v>4</v>
      </c>
      <c r="J210" s="3">
        <v>0</v>
      </c>
      <c r="K210" s="3">
        <v>9</v>
      </c>
    </row>
    <row r="211" spans="1:11" x14ac:dyDescent="0.3">
      <c r="A211" s="3" t="s">
        <v>258</v>
      </c>
      <c r="B211" s="3" t="s">
        <v>333</v>
      </c>
      <c r="C211" s="3">
        <v>120</v>
      </c>
      <c r="D211" s="3">
        <v>7</v>
      </c>
      <c r="E211" s="3">
        <v>25</v>
      </c>
      <c r="F211" s="3">
        <v>90</v>
      </c>
      <c r="G211" s="3">
        <v>1</v>
      </c>
      <c r="H211" s="3">
        <v>2</v>
      </c>
      <c r="I211" s="3">
        <v>4</v>
      </c>
      <c r="J211" s="3">
        <v>0</v>
      </c>
      <c r="K211" s="3">
        <v>12</v>
      </c>
    </row>
    <row r="212" spans="1:11" x14ac:dyDescent="0.3">
      <c r="A212" s="3" t="s">
        <v>258</v>
      </c>
      <c r="B212" s="3" t="s">
        <v>334</v>
      </c>
      <c r="C212" s="3">
        <v>160</v>
      </c>
      <c r="D212" s="3">
        <v>9</v>
      </c>
      <c r="E212" s="3">
        <v>35</v>
      </c>
      <c r="F212" s="3">
        <v>135</v>
      </c>
      <c r="G212" s="3">
        <v>2</v>
      </c>
      <c r="H212" s="3">
        <v>2</v>
      </c>
      <c r="I212" s="3">
        <v>8</v>
      </c>
      <c r="J212" s="3">
        <v>0</v>
      </c>
      <c r="K212" s="3">
        <v>18</v>
      </c>
    </row>
    <row r="213" spans="1:11" x14ac:dyDescent="0.3">
      <c r="A213" s="3" t="s">
        <v>258</v>
      </c>
      <c r="B213" s="3" t="s">
        <v>335</v>
      </c>
      <c r="C213" s="3">
        <v>290</v>
      </c>
      <c r="D213" s="3">
        <v>11</v>
      </c>
      <c r="E213" s="3">
        <v>35</v>
      </c>
      <c r="F213" s="3">
        <v>125</v>
      </c>
      <c r="G213" s="3">
        <v>8</v>
      </c>
      <c r="H213" s="3">
        <v>34</v>
      </c>
      <c r="I213" s="3">
        <v>25</v>
      </c>
      <c r="J213" s="3">
        <v>4</v>
      </c>
      <c r="K213" s="3">
        <v>41</v>
      </c>
    </row>
    <row r="214" spans="1:11" x14ac:dyDescent="0.3">
      <c r="A214" s="3" t="s">
        <v>258</v>
      </c>
      <c r="B214" s="3" t="s">
        <v>336</v>
      </c>
      <c r="C214" s="3">
        <v>350</v>
      </c>
      <c r="D214" s="3">
        <v>13</v>
      </c>
      <c r="E214" s="3">
        <v>40</v>
      </c>
      <c r="F214" s="3">
        <v>150</v>
      </c>
      <c r="G214" s="3">
        <v>9</v>
      </c>
      <c r="H214" s="3">
        <v>43</v>
      </c>
      <c r="I214" s="3">
        <v>30</v>
      </c>
      <c r="J214" s="3">
        <v>6</v>
      </c>
      <c r="K214" s="3">
        <v>50</v>
      </c>
    </row>
    <row r="215" spans="1:11" x14ac:dyDescent="0.3">
      <c r="A215" s="3" t="s">
        <v>258</v>
      </c>
      <c r="B215" s="3" t="s">
        <v>337</v>
      </c>
      <c r="C215" s="3">
        <v>480</v>
      </c>
      <c r="D215" s="3">
        <v>16</v>
      </c>
      <c r="E215" s="3">
        <v>50</v>
      </c>
      <c r="F215" s="3">
        <v>220</v>
      </c>
      <c r="G215" s="3">
        <v>14</v>
      </c>
      <c r="H215" s="3">
        <v>62</v>
      </c>
      <c r="I215" s="3">
        <v>40</v>
      </c>
      <c r="J215" s="3">
        <v>8</v>
      </c>
      <c r="K215" s="3">
        <v>70</v>
      </c>
    </row>
    <row r="216" spans="1:11" x14ac:dyDescent="0.3">
      <c r="A216" s="3" t="s">
        <v>258</v>
      </c>
      <c r="B216" s="3" t="s">
        <v>338</v>
      </c>
      <c r="C216" s="3">
        <v>240</v>
      </c>
      <c r="D216" s="3">
        <v>5</v>
      </c>
      <c r="E216" s="3">
        <v>20</v>
      </c>
      <c r="F216" s="3">
        <v>125</v>
      </c>
      <c r="G216" s="3">
        <v>8</v>
      </c>
      <c r="H216" s="3">
        <v>35</v>
      </c>
      <c r="I216" s="3">
        <v>25</v>
      </c>
      <c r="J216" s="3">
        <v>4</v>
      </c>
      <c r="K216" s="3">
        <v>41</v>
      </c>
    </row>
    <row r="217" spans="1:11" x14ac:dyDescent="0.3">
      <c r="A217" s="3" t="s">
        <v>258</v>
      </c>
      <c r="B217" s="3" t="s">
        <v>339</v>
      </c>
      <c r="C217" s="3">
        <v>290</v>
      </c>
      <c r="D217" s="3">
        <v>5</v>
      </c>
      <c r="E217" s="3">
        <v>20</v>
      </c>
      <c r="F217" s="3">
        <v>150</v>
      </c>
      <c r="G217" s="3">
        <v>10</v>
      </c>
      <c r="H217" s="3">
        <v>43</v>
      </c>
      <c r="I217" s="3">
        <v>30</v>
      </c>
      <c r="J217" s="3">
        <v>6</v>
      </c>
      <c r="K217" s="3">
        <v>50</v>
      </c>
    </row>
    <row r="218" spans="1:11" x14ac:dyDescent="0.3">
      <c r="A218" s="3" t="s">
        <v>258</v>
      </c>
      <c r="B218" s="3" t="s">
        <v>340</v>
      </c>
      <c r="C218" s="3">
        <v>390</v>
      </c>
      <c r="D218" s="3">
        <v>6</v>
      </c>
      <c r="E218" s="3">
        <v>25</v>
      </c>
      <c r="F218" s="3">
        <v>220</v>
      </c>
      <c r="G218" s="3">
        <v>14</v>
      </c>
      <c r="H218" s="3">
        <v>62</v>
      </c>
      <c r="I218" s="3">
        <v>45</v>
      </c>
      <c r="J218" s="3">
        <v>8</v>
      </c>
      <c r="K218" s="3">
        <v>71</v>
      </c>
    </row>
    <row r="219" spans="1:11" x14ac:dyDescent="0.3">
      <c r="A219" s="3" t="s">
        <v>258</v>
      </c>
      <c r="B219" s="3" t="s">
        <v>341</v>
      </c>
      <c r="C219" s="3">
        <v>280</v>
      </c>
      <c r="D219" s="3">
        <v>11</v>
      </c>
      <c r="E219" s="3">
        <v>35</v>
      </c>
      <c r="F219" s="3">
        <v>140</v>
      </c>
      <c r="G219" s="3">
        <v>8</v>
      </c>
      <c r="H219" s="3">
        <v>33</v>
      </c>
      <c r="I219" s="3">
        <v>25</v>
      </c>
      <c r="J219" s="3">
        <v>2</v>
      </c>
      <c r="K219" s="3">
        <v>38</v>
      </c>
    </row>
    <row r="220" spans="1:11" x14ac:dyDescent="0.3">
      <c r="A220" s="3" t="s">
        <v>258</v>
      </c>
      <c r="B220" s="3" t="s">
        <v>342</v>
      </c>
      <c r="C220" s="3">
        <v>340</v>
      </c>
      <c r="D220" s="3">
        <v>13</v>
      </c>
      <c r="E220" s="3">
        <v>40</v>
      </c>
      <c r="F220" s="3">
        <v>170</v>
      </c>
      <c r="G220" s="3">
        <v>9</v>
      </c>
      <c r="H220" s="3">
        <v>41</v>
      </c>
      <c r="I220" s="3">
        <v>30</v>
      </c>
      <c r="J220" s="3">
        <v>2</v>
      </c>
      <c r="K220" s="3">
        <v>46</v>
      </c>
    </row>
    <row r="221" spans="1:11" x14ac:dyDescent="0.3">
      <c r="A221" s="3" t="s">
        <v>258</v>
      </c>
      <c r="B221" s="3" t="s">
        <v>343</v>
      </c>
      <c r="C221" s="3">
        <v>460</v>
      </c>
      <c r="D221" s="3">
        <v>16</v>
      </c>
      <c r="E221" s="3">
        <v>50</v>
      </c>
      <c r="F221" s="3">
        <v>250</v>
      </c>
      <c r="G221" s="3">
        <v>13</v>
      </c>
      <c r="H221" s="3">
        <v>59</v>
      </c>
      <c r="I221" s="3">
        <v>40</v>
      </c>
      <c r="J221" s="3">
        <v>4</v>
      </c>
      <c r="K221" s="3">
        <v>65</v>
      </c>
    </row>
    <row r="222" spans="1:11" x14ac:dyDescent="0.3">
      <c r="A222" s="3" t="s">
        <v>258</v>
      </c>
      <c r="B222" s="3" t="s">
        <v>344</v>
      </c>
      <c r="C222" s="3">
        <v>230</v>
      </c>
      <c r="D222" s="3">
        <v>5</v>
      </c>
      <c r="E222" s="3">
        <v>20</v>
      </c>
      <c r="F222" s="3">
        <v>140</v>
      </c>
      <c r="G222" s="3">
        <v>8</v>
      </c>
      <c r="H222" s="3">
        <v>33</v>
      </c>
      <c r="I222" s="3">
        <v>25</v>
      </c>
      <c r="J222" s="3">
        <v>2</v>
      </c>
      <c r="K222" s="3">
        <v>38</v>
      </c>
    </row>
    <row r="223" spans="1:11" x14ac:dyDescent="0.3">
      <c r="A223" s="3" t="s">
        <v>258</v>
      </c>
      <c r="B223" s="3" t="s">
        <v>345</v>
      </c>
      <c r="C223" s="3">
        <v>270</v>
      </c>
      <c r="D223" s="3">
        <v>5</v>
      </c>
      <c r="E223" s="3">
        <v>20</v>
      </c>
      <c r="F223" s="3">
        <v>170</v>
      </c>
      <c r="G223" s="3">
        <v>10</v>
      </c>
      <c r="H223" s="3">
        <v>41</v>
      </c>
      <c r="I223" s="3">
        <v>30</v>
      </c>
      <c r="J223" s="3">
        <v>2</v>
      </c>
      <c r="K223" s="3">
        <v>47</v>
      </c>
    </row>
    <row r="224" spans="1:11" x14ac:dyDescent="0.3">
      <c r="A224" s="3" t="s">
        <v>258</v>
      </c>
      <c r="B224" s="3" t="s">
        <v>346</v>
      </c>
      <c r="C224" s="3">
        <v>370</v>
      </c>
      <c r="D224" s="3">
        <v>6</v>
      </c>
      <c r="E224" s="3">
        <v>25</v>
      </c>
      <c r="F224" s="3">
        <v>250</v>
      </c>
      <c r="G224" s="3">
        <v>14</v>
      </c>
      <c r="H224" s="3">
        <v>59</v>
      </c>
      <c r="I224" s="3">
        <v>45</v>
      </c>
      <c r="J224" s="3">
        <v>4</v>
      </c>
      <c r="K224" s="3">
        <v>65</v>
      </c>
    </row>
    <row r="225" spans="1:11" x14ac:dyDescent="0.3">
      <c r="A225" s="3" t="s">
        <v>258</v>
      </c>
      <c r="B225" s="3" t="s">
        <v>347</v>
      </c>
      <c r="C225" s="3">
        <v>450</v>
      </c>
      <c r="D225" s="3">
        <v>18</v>
      </c>
      <c r="E225" s="3">
        <v>65</v>
      </c>
      <c r="F225" s="3">
        <v>125</v>
      </c>
      <c r="G225" s="3">
        <v>7</v>
      </c>
      <c r="H225" s="3">
        <v>57</v>
      </c>
      <c r="I225" s="3">
        <v>20</v>
      </c>
      <c r="J225" s="3">
        <v>4</v>
      </c>
      <c r="K225" s="3">
        <v>65</v>
      </c>
    </row>
    <row r="226" spans="1:11" x14ac:dyDescent="0.3">
      <c r="A226" s="3" t="s">
        <v>258</v>
      </c>
      <c r="B226" s="3" t="s">
        <v>348</v>
      </c>
      <c r="C226" s="3">
        <v>550</v>
      </c>
      <c r="D226" s="3">
        <v>22</v>
      </c>
      <c r="E226" s="3">
        <v>75</v>
      </c>
      <c r="F226" s="3">
        <v>160</v>
      </c>
      <c r="G226" s="3">
        <v>9</v>
      </c>
      <c r="H226" s="3">
        <v>71</v>
      </c>
      <c r="I226" s="3">
        <v>25</v>
      </c>
      <c r="J226" s="3">
        <v>4</v>
      </c>
      <c r="K226" s="3">
        <v>80</v>
      </c>
    </row>
    <row r="227" spans="1:11" x14ac:dyDescent="0.3">
      <c r="A227" s="3" t="s">
        <v>258</v>
      </c>
      <c r="B227" s="3" t="s">
        <v>349</v>
      </c>
      <c r="C227" s="3">
        <v>670</v>
      </c>
      <c r="D227" s="3">
        <v>26</v>
      </c>
      <c r="E227" s="3">
        <v>90</v>
      </c>
      <c r="F227" s="3">
        <v>190</v>
      </c>
      <c r="G227" s="3">
        <v>11</v>
      </c>
      <c r="H227" s="3">
        <v>88</v>
      </c>
      <c r="I227" s="3">
        <v>35</v>
      </c>
      <c r="J227" s="3">
        <v>4</v>
      </c>
      <c r="K227" s="3">
        <v>98</v>
      </c>
    </row>
    <row r="228" spans="1:11" x14ac:dyDescent="0.3">
      <c r="A228" s="3" t="s">
        <v>258</v>
      </c>
      <c r="B228" s="3" t="s">
        <v>350</v>
      </c>
      <c r="C228" s="3">
        <v>450</v>
      </c>
      <c r="D228" s="3">
        <v>19</v>
      </c>
      <c r="E228" s="3">
        <v>65</v>
      </c>
      <c r="F228" s="3">
        <v>125</v>
      </c>
      <c r="G228" s="3">
        <v>7</v>
      </c>
      <c r="H228" s="3">
        <v>57</v>
      </c>
      <c r="I228" s="3">
        <v>25</v>
      </c>
      <c r="J228" s="3">
        <v>2</v>
      </c>
      <c r="K228" s="3">
        <v>64</v>
      </c>
    </row>
    <row r="229" spans="1:11" x14ac:dyDescent="0.3">
      <c r="A229" s="3" t="s">
        <v>258</v>
      </c>
      <c r="B229" s="3" t="s">
        <v>351</v>
      </c>
      <c r="C229" s="3">
        <v>550</v>
      </c>
      <c r="D229" s="3">
        <v>23</v>
      </c>
      <c r="E229" s="3">
        <v>80</v>
      </c>
      <c r="F229" s="3">
        <v>160</v>
      </c>
      <c r="G229" s="3">
        <v>9</v>
      </c>
      <c r="H229" s="3">
        <v>71</v>
      </c>
      <c r="I229" s="3">
        <v>30</v>
      </c>
      <c r="J229" s="3">
        <v>2</v>
      </c>
      <c r="K229" s="3">
        <v>79</v>
      </c>
    </row>
    <row r="230" spans="1:11" x14ac:dyDescent="0.3">
      <c r="A230" s="3" t="s">
        <v>258</v>
      </c>
      <c r="B230" s="3" t="s">
        <v>352</v>
      </c>
      <c r="C230" s="3">
        <v>670</v>
      </c>
      <c r="D230" s="3">
        <v>27</v>
      </c>
      <c r="E230" s="3">
        <v>95</v>
      </c>
      <c r="F230" s="3">
        <v>190</v>
      </c>
      <c r="G230" s="3">
        <v>11</v>
      </c>
      <c r="H230" s="3">
        <v>88</v>
      </c>
      <c r="I230" s="3">
        <v>35</v>
      </c>
      <c r="J230" s="3">
        <v>2</v>
      </c>
      <c r="K230" s="3">
        <v>96</v>
      </c>
    </row>
    <row r="231" spans="1:11" x14ac:dyDescent="0.3">
      <c r="A231" s="3" t="s">
        <v>258</v>
      </c>
      <c r="B231" s="3" t="s">
        <v>353</v>
      </c>
      <c r="C231" s="3">
        <v>530</v>
      </c>
      <c r="D231" s="3">
        <v>23</v>
      </c>
      <c r="E231" s="3">
        <v>65</v>
      </c>
      <c r="F231" s="3">
        <v>135</v>
      </c>
      <c r="G231" s="3">
        <v>8</v>
      </c>
      <c r="H231" s="3">
        <v>67</v>
      </c>
      <c r="I231" s="3">
        <v>25</v>
      </c>
      <c r="J231" s="3">
        <v>4</v>
      </c>
      <c r="K231" s="3">
        <v>76</v>
      </c>
    </row>
    <row r="232" spans="1:11" x14ac:dyDescent="0.3">
      <c r="A232" s="3" t="s">
        <v>258</v>
      </c>
      <c r="B232" s="3" t="s">
        <v>354</v>
      </c>
      <c r="C232" s="3">
        <v>630</v>
      </c>
      <c r="D232" s="3">
        <v>26</v>
      </c>
      <c r="E232" s="3">
        <v>80</v>
      </c>
      <c r="F232" s="3">
        <v>160</v>
      </c>
      <c r="G232" s="3">
        <v>9</v>
      </c>
      <c r="H232" s="3">
        <v>81</v>
      </c>
      <c r="I232" s="3">
        <v>30</v>
      </c>
      <c r="J232" s="3">
        <v>4</v>
      </c>
      <c r="K232" s="3">
        <v>91</v>
      </c>
    </row>
    <row r="233" spans="1:11" x14ac:dyDescent="0.3">
      <c r="A233" s="3" t="s">
        <v>258</v>
      </c>
      <c r="B233" s="3" t="s">
        <v>355</v>
      </c>
      <c r="C233" s="3">
        <v>760</v>
      </c>
      <c r="D233" s="3">
        <v>31</v>
      </c>
      <c r="E233" s="3">
        <v>95</v>
      </c>
      <c r="F233" s="3">
        <v>200</v>
      </c>
      <c r="G233" s="3">
        <v>12</v>
      </c>
      <c r="H233" s="3">
        <v>99</v>
      </c>
      <c r="I233" s="3">
        <v>35</v>
      </c>
      <c r="J233" s="3">
        <v>6</v>
      </c>
      <c r="K233" s="3">
        <v>111</v>
      </c>
    </row>
    <row r="234" spans="1:11" x14ac:dyDescent="0.3">
      <c r="A234" s="3" t="s">
        <v>356</v>
      </c>
      <c r="B234" s="3" t="s">
        <v>357</v>
      </c>
      <c r="C234" s="3">
        <v>220</v>
      </c>
      <c r="D234" s="3">
        <v>0.5</v>
      </c>
      <c r="E234" s="3">
        <v>5</v>
      </c>
      <c r="F234" s="3">
        <v>40</v>
      </c>
      <c r="G234" s="3">
        <v>2</v>
      </c>
      <c r="H234" s="3">
        <v>44</v>
      </c>
      <c r="I234" s="3">
        <v>6</v>
      </c>
      <c r="J234" s="3">
        <v>2</v>
      </c>
      <c r="K234" s="3">
        <v>50</v>
      </c>
    </row>
    <row r="235" spans="1:11" x14ac:dyDescent="0.3">
      <c r="A235" s="3" t="s">
        <v>356</v>
      </c>
      <c r="B235" s="3" t="s">
        <v>358</v>
      </c>
      <c r="C235" s="3">
        <v>260</v>
      </c>
      <c r="D235" s="3">
        <v>1</v>
      </c>
      <c r="E235" s="3">
        <v>5</v>
      </c>
      <c r="F235" s="3">
        <v>50</v>
      </c>
      <c r="G235" s="3">
        <v>3</v>
      </c>
      <c r="H235" s="3">
        <v>54</v>
      </c>
      <c r="I235" s="3">
        <v>8</v>
      </c>
      <c r="J235" s="3">
        <v>2</v>
      </c>
      <c r="K235" s="3">
        <v>62</v>
      </c>
    </row>
    <row r="236" spans="1:11" x14ac:dyDescent="0.3">
      <c r="A236" s="3" t="s">
        <v>356</v>
      </c>
      <c r="B236" s="3" t="s">
        <v>359</v>
      </c>
      <c r="C236" s="3">
        <v>340</v>
      </c>
      <c r="D236" s="3">
        <v>1</v>
      </c>
      <c r="E236" s="3">
        <v>5</v>
      </c>
      <c r="F236" s="3">
        <v>65</v>
      </c>
      <c r="G236" s="3">
        <v>4</v>
      </c>
      <c r="H236" s="3">
        <v>70</v>
      </c>
      <c r="I236" s="3">
        <v>10</v>
      </c>
      <c r="J236" s="3">
        <v>2</v>
      </c>
      <c r="K236" s="3">
        <v>79</v>
      </c>
    </row>
    <row r="237" spans="1:11" x14ac:dyDescent="0.3">
      <c r="A237" s="3" t="s">
        <v>356</v>
      </c>
      <c r="B237" s="3" t="s">
        <v>360</v>
      </c>
      <c r="C237" s="3">
        <v>210</v>
      </c>
      <c r="D237" s="3">
        <v>0.5</v>
      </c>
      <c r="E237" s="3">
        <v>5</v>
      </c>
      <c r="F237" s="3">
        <v>50</v>
      </c>
      <c r="G237" s="3">
        <v>3</v>
      </c>
      <c r="H237" s="3">
        <v>44</v>
      </c>
      <c r="I237" s="3">
        <v>8</v>
      </c>
      <c r="J237" s="3">
        <v>2</v>
      </c>
      <c r="K237" s="3">
        <v>47</v>
      </c>
    </row>
    <row r="238" spans="1:11" x14ac:dyDescent="0.3">
      <c r="A238" s="3" t="s">
        <v>356</v>
      </c>
      <c r="B238" s="3" t="s">
        <v>361</v>
      </c>
      <c r="C238" s="3">
        <v>250</v>
      </c>
      <c r="D238" s="3">
        <v>1</v>
      </c>
      <c r="E238" s="3">
        <v>5</v>
      </c>
      <c r="F238" s="3">
        <v>60</v>
      </c>
      <c r="G238" s="3">
        <v>4</v>
      </c>
      <c r="H238" s="3">
        <v>54</v>
      </c>
      <c r="I238" s="3">
        <v>8</v>
      </c>
      <c r="J238" s="3">
        <v>4</v>
      </c>
      <c r="K238" s="3">
        <v>58</v>
      </c>
    </row>
    <row r="239" spans="1:11" x14ac:dyDescent="0.3">
      <c r="A239" s="3" t="s">
        <v>356</v>
      </c>
      <c r="B239" s="3" t="s">
        <v>362</v>
      </c>
      <c r="C239" s="3">
        <v>330</v>
      </c>
      <c r="D239" s="3">
        <v>1</v>
      </c>
      <c r="E239" s="3">
        <v>5</v>
      </c>
      <c r="F239" s="3">
        <v>80</v>
      </c>
      <c r="G239" s="3">
        <v>5</v>
      </c>
      <c r="H239" s="3">
        <v>70</v>
      </c>
      <c r="I239" s="3">
        <v>10</v>
      </c>
      <c r="J239" s="3">
        <v>4</v>
      </c>
      <c r="K239" s="3">
        <v>74</v>
      </c>
    </row>
    <row r="240" spans="1:11" x14ac:dyDescent="0.3">
      <c r="A240" s="3" t="s">
        <v>356</v>
      </c>
      <c r="B240" s="3" t="s">
        <v>363</v>
      </c>
      <c r="C240" s="3">
        <v>210</v>
      </c>
      <c r="D240" s="3">
        <v>0.5</v>
      </c>
      <c r="E240" s="3">
        <v>5</v>
      </c>
      <c r="F240" s="3">
        <v>40</v>
      </c>
      <c r="G240" s="3">
        <v>2</v>
      </c>
      <c r="H240" s="3">
        <v>46</v>
      </c>
      <c r="I240" s="3">
        <v>8</v>
      </c>
      <c r="J240" s="3">
        <v>2</v>
      </c>
      <c r="K240" s="3">
        <v>50</v>
      </c>
    </row>
    <row r="241" spans="1:11" x14ac:dyDescent="0.3">
      <c r="A241" s="3" t="s">
        <v>356</v>
      </c>
      <c r="B241" s="3" t="s">
        <v>364</v>
      </c>
      <c r="C241" s="3">
        <v>260</v>
      </c>
      <c r="D241" s="3">
        <v>1</v>
      </c>
      <c r="E241" s="3">
        <v>5</v>
      </c>
      <c r="F241" s="3">
        <v>45</v>
      </c>
      <c r="G241" s="3">
        <v>3</v>
      </c>
      <c r="H241" s="3">
        <v>56</v>
      </c>
      <c r="I241" s="3">
        <v>8</v>
      </c>
      <c r="J241" s="3">
        <v>2</v>
      </c>
      <c r="K241" s="3">
        <v>61</v>
      </c>
    </row>
    <row r="242" spans="1:11" x14ac:dyDescent="0.3">
      <c r="A242" s="3" t="s">
        <v>356</v>
      </c>
      <c r="B242" s="3" t="s">
        <v>365</v>
      </c>
      <c r="C242" s="3">
        <v>340</v>
      </c>
      <c r="D242" s="3">
        <v>1</v>
      </c>
      <c r="E242" s="3">
        <v>5</v>
      </c>
      <c r="F242" s="3">
        <v>60</v>
      </c>
      <c r="G242" s="3">
        <v>4</v>
      </c>
      <c r="H242" s="3">
        <v>72</v>
      </c>
      <c r="I242" s="3">
        <v>10</v>
      </c>
      <c r="J242" s="3">
        <v>2</v>
      </c>
      <c r="K242" s="3">
        <v>78</v>
      </c>
    </row>
    <row r="243" spans="1:11" x14ac:dyDescent="0.3">
      <c r="A243" s="3" t="s">
        <v>356</v>
      </c>
      <c r="B243" s="3" t="s">
        <v>366</v>
      </c>
      <c r="C243" s="3">
        <v>530</v>
      </c>
      <c r="D243" s="3">
        <v>15</v>
      </c>
      <c r="E243" s="3">
        <v>60</v>
      </c>
      <c r="F243" s="3">
        <v>160</v>
      </c>
      <c r="G243" s="3">
        <v>11</v>
      </c>
      <c r="H243" s="3">
        <v>63</v>
      </c>
      <c r="I243" s="3">
        <v>40</v>
      </c>
      <c r="J243" s="3">
        <v>0</v>
      </c>
      <c r="K243" s="3">
        <v>86</v>
      </c>
    </row>
    <row r="244" spans="1:11" x14ac:dyDescent="0.3">
      <c r="A244" s="3" t="s">
        <v>356</v>
      </c>
      <c r="B244" s="3" t="s">
        <v>367</v>
      </c>
      <c r="C244" s="3">
        <v>660</v>
      </c>
      <c r="D244" s="3">
        <v>19</v>
      </c>
      <c r="E244" s="3">
        <v>75</v>
      </c>
      <c r="F244" s="3">
        <v>200</v>
      </c>
      <c r="G244" s="3">
        <v>14</v>
      </c>
      <c r="H244" s="3">
        <v>81</v>
      </c>
      <c r="I244" s="3">
        <v>50</v>
      </c>
      <c r="J244" s="3">
        <v>0</v>
      </c>
      <c r="K244" s="3">
        <v>109</v>
      </c>
    </row>
    <row r="245" spans="1:11" x14ac:dyDescent="0.3">
      <c r="A245" s="3" t="s">
        <v>356</v>
      </c>
      <c r="B245" s="3" t="s">
        <v>368</v>
      </c>
      <c r="C245" s="3">
        <v>820</v>
      </c>
      <c r="D245" s="3">
        <v>23</v>
      </c>
      <c r="E245" s="3">
        <v>90</v>
      </c>
      <c r="F245" s="3">
        <v>260</v>
      </c>
      <c r="G245" s="3">
        <v>18</v>
      </c>
      <c r="H245" s="3">
        <v>101</v>
      </c>
      <c r="I245" s="3">
        <v>60</v>
      </c>
      <c r="J245" s="3">
        <v>0</v>
      </c>
      <c r="K245" s="3">
        <v>135</v>
      </c>
    </row>
    <row r="246" spans="1:11" x14ac:dyDescent="0.3">
      <c r="A246" s="3" t="s">
        <v>356</v>
      </c>
      <c r="B246" s="3" t="s">
        <v>369</v>
      </c>
      <c r="C246" s="3">
        <v>550</v>
      </c>
      <c r="D246" s="3">
        <v>16</v>
      </c>
      <c r="E246" s="3">
        <v>60</v>
      </c>
      <c r="F246" s="3">
        <v>160</v>
      </c>
      <c r="G246" s="3">
        <v>12</v>
      </c>
      <c r="H246" s="3">
        <v>79</v>
      </c>
      <c r="I246" s="3">
        <v>40</v>
      </c>
      <c r="J246" s="3">
        <v>0</v>
      </c>
      <c r="K246" s="3">
        <v>90</v>
      </c>
    </row>
    <row r="247" spans="1:11" x14ac:dyDescent="0.3">
      <c r="A247" s="3" t="s">
        <v>356</v>
      </c>
      <c r="B247" s="3" t="s">
        <v>370</v>
      </c>
      <c r="C247" s="3">
        <v>690</v>
      </c>
      <c r="D247" s="3">
        <v>20</v>
      </c>
      <c r="E247" s="3">
        <v>75</v>
      </c>
      <c r="F247" s="3">
        <v>210</v>
      </c>
      <c r="G247" s="3">
        <v>15</v>
      </c>
      <c r="H247" s="3">
        <v>100</v>
      </c>
      <c r="I247" s="3">
        <v>50</v>
      </c>
      <c r="J247" s="3">
        <v>0</v>
      </c>
      <c r="K247" s="3">
        <v>114</v>
      </c>
    </row>
    <row r="248" spans="1:11" x14ac:dyDescent="0.3">
      <c r="A248" s="3" t="s">
        <v>356</v>
      </c>
      <c r="B248" s="3" t="s">
        <v>371</v>
      </c>
      <c r="C248" s="3">
        <v>850</v>
      </c>
      <c r="D248" s="3">
        <v>24</v>
      </c>
      <c r="E248" s="3">
        <v>90</v>
      </c>
      <c r="F248" s="3">
        <v>260</v>
      </c>
      <c r="G248" s="3">
        <v>18</v>
      </c>
      <c r="H248" s="3">
        <v>123</v>
      </c>
      <c r="I248" s="3">
        <v>70</v>
      </c>
      <c r="J248" s="3">
        <v>0</v>
      </c>
      <c r="K248" s="3">
        <v>140</v>
      </c>
    </row>
    <row r="249" spans="1:11" x14ac:dyDescent="0.3">
      <c r="A249" s="3" t="s">
        <v>356</v>
      </c>
      <c r="B249" s="3" t="s">
        <v>372</v>
      </c>
      <c r="C249" s="3">
        <v>560</v>
      </c>
      <c r="D249" s="3">
        <v>16</v>
      </c>
      <c r="E249" s="3">
        <v>60</v>
      </c>
      <c r="F249" s="3">
        <v>240</v>
      </c>
      <c r="G249" s="3">
        <v>12</v>
      </c>
      <c r="H249" s="3">
        <v>77</v>
      </c>
      <c r="I249" s="3">
        <v>40</v>
      </c>
      <c r="J249" s="3">
        <v>8</v>
      </c>
      <c r="K249" s="3">
        <v>91</v>
      </c>
    </row>
    <row r="250" spans="1:11" x14ac:dyDescent="0.3">
      <c r="A250" s="3" t="s">
        <v>356</v>
      </c>
      <c r="B250" s="3" t="s">
        <v>373</v>
      </c>
      <c r="C250" s="3">
        <v>700</v>
      </c>
      <c r="D250" s="3">
        <v>20</v>
      </c>
      <c r="E250" s="3">
        <v>75</v>
      </c>
      <c r="F250" s="3">
        <v>300</v>
      </c>
      <c r="G250" s="3">
        <v>15</v>
      </c>
      <c r="H250" s="3">
        <v>97</v>
      </c>
      <c r="I250" s="3">
        <v>50</v>
      </c>
      <c r="J250" s="3">
        <v>10</v>
      </c>
      <c r="K250" s="3">
        <v>114</v>
      </c>
    </row>
    <row r="251" spans="1:11" x14ac:dyDescent="0.3">
      <c r="A251" s="3" t="s">
        <v>356</v>
      </c>
      <c r="B251" s="3" t="s">
        <v>374</v>
      </c>
      <c r="C251" s="3">
        <v>850</v>
      </c>
      <c r="D251" s="3">
        <v>23</v>
      </c>
      <c r="E251" s="3">
        <v>85</v>
      </c>
      <c r="F251" s="3">
        <v>380</v>
      </c>
      <c r="G251" s="3">
        <v>19</v>
      </c>
      <c r="H251" s="3">
        <v>120</v>
      </c>
      <c r="I251" s="3">
        <v>60</v>
      </c>
      <c r="J251" s="3">
        <v>15</v>
      </c>
      <c r="K251" s="3">
        <v>141</v>
      </c>
    </row>
    <row r="252" spans="1:11" x14ac:dyDescent="0.3">
      <c r="A252" s="3" t="s">
        <v>356</v>
      </c>
      <c r="B252" s="3" t="s">
        <v>375</v>
      </c>
      <c r="C252" s="3">
        <v>660</v>
      </c>
      <c r="D252" s="3">
        <v>19</v>
      </c>
      <c r="E252" s="3">
        <v>75</v>
      </c>
      <c r="F252" s="3">
        <v>210</v>
      </c>
      <c r="G252" s="3">
        <v>14</v>
      </c>
      <c r="H252" s="3">
        <v>93</v>
      </c>
      <c r="I252" s="3">
        <v>50</v>
      </c>
      <c r="J252" s="3">
        <v>0</v>
      </c>
      <c r="K252" s="3">
        <v>109</v>
      </c>
    </row>
    <row r="253" spans="1:11" x14ac:dyDescent="0.3">
      <c r="A253" s="3" t="s">
        <v>356</v>
      </c>
      <c r="B253" s="3" t="s">
        <v>376</v>
      </c>
      <c r="C253" s="3">
        <v>820</v>
      </c>
      <c r="D253" s="3">
        <v>23</v>
      </c>
      <c r="E253" s="3">
        <v>90</v>
      </c>
      <c r="F253" s="3">
        <v>260</v>
      </c>
      <c r="G253" s="3">
        <v>18</v>
      </c>
      <c r="H253" s="3">
        <v>115</v>
      </c>
      <c r="I253" s="3">
        <v>60</v>
      </c>
      <c r="J253" s="3">
        <v>0</v>
      </c>
      <c r="K253" s="3">
        <v>135</v>
      </c>
    </row>
    <row r="254" spans="1:11" x14ac:dyDescent="0.3">
      <c r="A254" s="3" t="s">
        <v>356</v>
      </c>
      <c r="B254" s="3" t="s">
        <v>377</v>
      </c>
      <c r="C254" s="3">
        <v>650</v>
      </c>
      <c r="D254" s="3">
        <v>23</v>
      </c>
      <c r="E254" s="3">
        <v>50</v>
      </c>
      <c r="F254" s="3">
        <v>180</v>
      </c>
      <c r="G254" s="3">
        <v>13</v>
      </c>
      <c r="H254" s="3">
        <v>89</v>
      </c>
      <c r="I254" s="3">
        <v>45</v>
      </c>
      <c r="J254" s="3">
        <v>8</v>
      </c>
      <c r="K254" s="3">
        <v>96</v>
      </c>
    </row>
    <row r="255" spans="1:11" x14ac:dyDescent="0.3">
      <c r="A255" s="3" t="s">
        <v>356</v>
      </c>
      <c r="B255" s="3" t="s">
        <v>378</v>
      </c>
      <c r="C255" s="3">
        <v>930</v>
      </c>
      <c r="D255" s="3">
        <v>33</v>
      </c>
      <c r="E255" s="3">
        <v>75</v>
      </c>
      <c r="F255" s="3">
        <v>260</v>
      </c>
      <c r="G255" s="3">
        <v>20</v>
      </c>
      <c r="H255" s="3">
        <v>128</v>
      </c>
      <c r="I255" s="3">
        <v>70</v>
      </c>
      <c r="J255" s="3">
        <v>10</v>
      </c>
      <c r="K255" s="3">
        <v>139</v>
      </c>
    </row>
    <row r="256" spans="1:11" x14ac:dyDescent="0.3">
      <c r="A256" s="3" t="s">
        <v>356</v>
      </c>
      <c r="B256" s="3" t="s">
        <v>380</v>
      </c>
      <c r="C256" s="3">
        <v>430</v>
      </c>
      <c r="D256" s="3">
        <v>15</v>
      </c>
      <c r="E256" s="3">
        <v>35</v>
      </c>
      <c r="F256" s="3">
        <v>120</v>
      </c>
      <c r="G256" s="3">
        <v>9</v>
      </c>
      <c r="H256" s="3">
        <v>59</v>
      </c>
      <c r="I256" s="3">
        <v>30</v>
      </c>
      <c r="J256" s="3">
        <v>4</v>
      </c>
      <c r="K256" s="3">
        <v>64</v>
      </c>
    </row>
    <row r="257" spans="1:11" x14ac:dyDescent="0.3">
      <c r="A257" s="3" t="s">
        <v>356</v>
      </c>
      <c r="B257" s="3" t="s">
        <v>382</v>
      </c>
      <c r="C257" s="3">
        <v>510</v>
      </c>
      <c r="D257" s="3">
        <v>17</v>
      </c>
      <c r="E257" s="3">
        <v>45</v>
      </c>
      <c r="F257" s="3">
        <v>280</v>
      </c>
      <c r="G257" s="3">
        <v>12</v>
      </c>
      <c r="H257" s="3">
        <v>64</v>
      </c>
      <c r="I257" s="3">
        <v>40</v>
      </c>
      <c r="J257" s="3">
        <v>8</v>
      </c>
      <c r="K257" s="3">
        <v>80</v>
      </c>
    </row>
    <row r="258" spans="1:11" x14ac:dyDescent="0.3">
      <c r="A258" s="3" t="s">
        <v>356</v>
      </c>
      <c r="B258" s="3" t="s">
        <v>384</v>
      </c>
      <c r="C258" s="3">
        <v>690</v>
      </c>
      <c r="D258" s="3">
        <v>23</v>
      </c>
      <c r="E258" s="3">
        <v>55</v>
      </c>
      <c r="F258" s="3">
        <v>380</v>
      </c>
      <c r="G258" s="3">
        <v>15</v>
      </c>
      <c r="H258" s="3">
        <v>85</v>
      </c>
      <c r="I258" s="3">
        <v>50</v>
      </c>
      <c r="J258" s="3">
        <v>10</v>
      </c>
      <c r="K258" s="3">
        <v>106</v>
      </c>
    </row>
    <row r="259" spans="1:11" x14ac:dyDescent="0.3">
      <c r="A259" s="3" t="s">
        <v>356</v>
      </c>
      <c r="B259" s="3" t="s">
        <v>386</v>
      </c>
      <c r="C259" s="3">
        <v>340</v>
      </c>
      <c r="D259" s="3">
        <v>11</v>
      </c>
      <c r="E259" s="3">
        <v>30</v>
      </c>
      <c r="F259" s="3">
        <v>190</v>
      </c>
      <c r="G259" s="3">
        <v>8</v>
      </c>
      <c r="H259" s="3">
        <v>43</v>
      </c>
      <c r="I259" s="3">
        <v>25</v>
      </c>
      <c r="J259" s="3">
        <v>6</v>
      </c>
      <c r="K259" s="3">
        <v>53</v>
      </c>
    </row>
    <row r="260" spans="1:11" x14ac:dyDescent="0.3">
      <c r="A260" s="3" t="s">
        <v>356</v>
      </c>
      <c r="B260" s="3" t="s">
        <v>387</v>
      </c>
      <c r="C260" s="3">
        <v>810</v>
      </c>
      <c r="D260" s="3">
        <v>32</v>
      </c>
      <c r="E260" s="3">
        <v>60</v>
      </c>
      <c r="F260" s="3">
        <v>400</v>
      </c>
      <c r="G260" s="3">
        <v>21</v>
      </c>
      <c r="H260" s="3">
        <v>103</v>
      </c>
      <c r="I260" s="3">
        <v>60</v>
      </c>
      <c r="J260" s="3">
        <v>6</v>
      </c>
      <c r="K260" s="3">
        <v>114</v>
      </c>
    </row>
    <row r="261" spans="1:11" x14ac:dyDescent="0.3">
      <c r="A261" s="3" t="s">
        <v>356</v>
      </c>
      <c r="B261" s="3" t="s">
        <v>389</v>
      </c>
      <c r="C261" s="3">
        <v>410</v>
      </c>
      <c r="D261" s="3">
        <v>16</v>
      </c>
      <c r="E261" s="3">
        <v>30</v>
      </c>
      <c r="F261" s="3">
        <v>200</v>
      </c>
      <c r="G261" s="3">
        <v>10</v>
      </c>
      <c r="H261" s="3">
        <v>51</v>
      </c>
      <c r="I261" s="3">
        <v>30</v>
      </c>
      <c r="J261" s="3">
        <v>4</v>
      </c>
      <c r="K261" s="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0E11-8556-4BD2-A62E-6ADD4FDCE546}">
  <dimension ref="A1:L15"/>
  <sheetViews>
    <sheetView workbookViewId="0">
      <selection sqref="A1:L15"/>
    </sheetView>
  </sheetViews>
  <sheetFormatPr defaultRowHeight="14.4" x14ac:dyDescent="0.3"/>
  <sheetData>
    <row r="1" spans="1:12" x14ac:dyDescent="0.3">
      <c r="A1" s="3" t="s">
        <v>96</v>
      </c>
      <c r="B1" s="3" t="s">
        <v>97</v>
      </c>
      <c r="C1" s="3" t="s">
        <v>98</v>
      </c>
      <c r="D1" s="3">
        <v>530</v>
      </c>
      <c r="E1" s="3">
        <v>240</v>
      </c>
      <c r="F1" s="3">
        <v>27</v>
      </c>
      <c r="G1" s="3">
        <v>42</v>
      </c>
      <c r="H1" s="3">
        <v>10</v>
      </c>
      <c r="I1" s="3">
        <v>48</v>
      </c>
      <c r="J1" s="3">
        <v>1</v>
      </c>
      <c r="K1" s="3">
        <v>85</v>
      </c>
      <c r="L1">
        <f>IFERROR(VALUE(LEFT(C1,FIND(" ",C1)-1)), "")</f>
        <v>7.4</v>
      </c>
    </row>
    <row r="2" spans="1:12" x14ac:dyDescent="0.3">
      <c r="A2" s="3" t="s">
        <v>96</v>
      </c>
      <c r="B2" s="3" t="s">
        <v>99</v>
      </c>
      <c r="C2" s="3" t="s">
        <v>100</v>
      </c>
      <c r="D2" s="3">
        <v>520</v>
      </c>
      <c r="E2" s="3">
        <v>240</v>
      </c>
      <c r="F2" s="3">
        <v>26</v>
      </c>
      <c r="G2" s="3">
        <v>41</v>
      </c>
      <c r="H2" s="3">
        <v>12</v>
      </c>
      <c r="I2" s="3">
        <v>61</v>
      </c>
      <c r="J2" s="3">
        <v>1.5</v>
      </c>
      <c r="K2" s="3">
        <v>95</v>
      </c>
      <c r="L2">
        <f>IFERROR(VALUE(LEFT(C2,FIND(" ",C2)-1)), "")</f>
        <v>7.1</v>
      </c>
    </row>
    <row r="3" spans="1:12" x14ac:dyDescent="0.3">
      <c r="A3" s="3" t="s">
        <v>96</v>
      </c>
      <c r="B3" s="3" t="s">
        <v>101</v>
      </c>
      <c r="C3" s="3" t="s">
        <v>102</v>
      </c>
      <c r="D3" s="3">
        <v>600</v>
      </c>
      <c r="E3" s="3">
        <v>260</v>
      </c>
      <c r="F3" s="3">
        <v>29</v>
      </c>
      <c r="G3" s="3">
        <v>45</v>
      </c>
      <c r="H3" s="3">
        <v>13</v>
      </c>
      <c r="I3" s="3">
        <v>63</v>
      </c>
      <c r="J3" s="3">
        <v>1.5</v>
      </c>
      <c r="K3" s="3">
        <v>105</v>
      </c>
      <c r="L3">
        <f>IFERROR(VALUE(LEFT(C3,FIND(" ",C3)-1)), "")</f>
        <v>8</v>
      </c>
    </row>
    <row r="4" spans="1:12" x14ac:dyDescent="0.3">
      <c r="A4" s="3" t="s">
        <v>96</v>
      </c>
      <c r="B4" s="3" t="s">
        <v>103</v>
      </c>
      <c r="C4" s="3" t="s">
        <v>104</v>
      </c>
      <c r="D4" s="3">
        <v>610</v>
      </c>
      <c r="E4" s="3">
        <v>280</v>
      </c>
      <c r="F4" s="3">
        <v>31</v>
      </c>
      <c r="G4" s="3">
        <v>48</v>
      </c>
      <c r="H4" s="3">
        <v>13</v>
      </c>
      <c r="I4" s="3">
        <v>64</v>
      </c>
      <c r="J4" s="3">
        <v>1.5</v>
      </c>
      <c r="K4" s="3">
        <v>105</v>
      </c>
      <c r="L4">
        <f>IFERROR(VALUE(LEFT(C4,FIND(" ",C4)-1)), "")</f>
        <v>8.3000000000000007</v>
      </c>
    </row>
    <row r="5" spans="1:12" x14ac:dyDescent="0.3">
      <c r="A5" s="3" t="s">
        <v>96</v>
      </c>
      <c r="B5" s="3" t="s">
        <v>105</v>
      </c>
      <c r="C5" s="3" t="s">
        <v>106</v>
      </c>
      <c r="D5" s="3">
        <v>540</v>
      </c>
      <c r="E5" s="3">
        <v>250</v>
      </c>
      <c r="F5" s="3">
        <v>27</v>
      </c>
      <c r="G5" s="3">
        <v>42</v>
      </c>
      <c r="H5" s="3">
        <v>11</v>
      </c>
      <c r="I5" s="3">
        <v>54</v>
      </c>
      <c r="J5" s="3">
        <v>1.5</v>
      </c>
      <c r="K5" s="3">
        <v>85</v>
      </c>
      <c r="L5">
        <f>IFERROR(VALUE(LEFT(C5,FIND(" ",C5)-1)), "")</f>
        <v>8.6</v>
      </c>
    </row>
    <row r="6" spans="1:12" x14ac:dyDescent="0.3">
      <c r="A6" s="3" t="s">
        <v>96</v>
      </c>
      <c r="B6" s="3" t="s">
        <v>107</v>
      </c>
      <c r="C6" s="3" t="s">
        <v>71</v>
      </c>
      <c r="D6" s="3">
        <v>750</v>
      </c>
      <c r="E6" s="3">
        <v>380</v>
      </c>
      <c r="F6" s="3">
        <v>43</v>
      </c>
      <c r="G6" s="3">
        <v>66</v>
      </c>
      <c r="H6" s="3">
        <v>19</v>
      </c>
      <c r="I6" s="3">
        <v>96</v>
      </c>
      <c r="J6" s="3">
        <v>2.5</v>
      </c>
      <c r="K6" s="3">
        <v>160</v>
      </c>
      <c r="L6">
        <f>IFERROR(VALUE(LEFT(C6,FIND(" ",C6)-1)), "")</f>
        <v>10</v>
      </c>
    </row>
    <row r="7" spans="1:12" x14ac:dyDescent="0.3">
      <c r="A7" s="3" t="s">
        <v>96</v>
      </c>
      <c r="B7" s="3" t="s">
        <v>108</v>
      </c>
      <c r="C7" s="3" t="s">
        <v>109</v>
      </c>
      <c r="D7" s="3">
        <v>240</v>
      </c>
      <c r="E7" s="3">
        <v>70</v>
      </c>
      <c r="F7" s="3">
        <v>8</v>
      </c>
      <c r="G7" s="3">
        <v>12</v>
      </c>
      <c r="H7" s="3">
        <v>3</v>
      </c>
      <c r="I7" s="3">
        <v>15</v>
      </c>
      <c r="J7" s="3">
        <v>0</v>
      </c>
      <c r="K7" s="3">
        <v>30</v>
      </c>
      <c r="L7">
        <f>IFERROR(VALUE(LEFT(C7,FIND(" ",C7)-1)), "")</f>
        <v>3.5</v>
      </c>
    </row>
    <row r="8" spans="1:12" x14ac:dyDescent="0.3">
      <c r="A8" s="3" t="s">
        <v>96</v>
      </c>
      <c r="B8" s="3" t="s">
        <v>110</v>
      </c>
      <c r="C8" s="3" t="s">
        <v>111</v>
      </c>
      <c r="D8" s="3">
        <v>290</v>
      </c>
      <c r="E8" s="3">
        <v>100</v>
      </c>
      <c r="F8" s="3">
        <v>11</v>
      </c>
      <c r="G8" s="3">
        <v>18</v>
      </c>
      <c r="H8" s="3">
        <v>5</v>
      </c>
      <c r="I8" s="3">
        <v>27</v>
      </c>
      <c r="J8" s="3">
        <v>0.5</v>
      </c>
      <c r="K8" s="3">
        <v>45</v>
      </c>
      <c r="L8">
        <f>IFERROR(VALUE(LEFT(C8,FIND(" ",C8)-1)), "")</f>
        <v>4</v>
      </c>
    </row>
    <row r="9" spans="1:12" x14ac:dyDescent="0.3">
      <c r="A9" s="3" t="s">
        <v>96</v>
      </c>
      <c r="B9" s="3" t="s">
        <v>112</v>
      </c>
      <c r="C9" s="3" t="s">
        <v>25</v>
      </c>
      <c r="D9" s="3">
        <v>430</v>
      </c>
      <c r="E9" s="3">
        <v>190</v>
      </c>
      <c r="F9" s="3">
        <v>21</v>
      </c>
      <c r="G9" s="3">
        <v>32</v>
      </c>
      <c r="H9" s="3">
        <v>10</v>
      </c>
      <c r="I9" s="3">
        <v>52</v>
      </c>
      <c r="J9" s="3">
        <v>1</v>
      </c>
      <c r="K9" s="3">
        <v>90</v>
      </c>
      <c r="L9">
        <f>IFERROR(VALUE(LEFT(C9,FIND(" ",C9)-1)), "")</f>
        <v>5.7</v>
      </c>
    </row>
    <row r="10" spans="1:12" x14ac:dyDescent="0.3">
      <c r="A10" s="3" t="s">
        <v>96</v>
      </c>
      <c r="B10" s="3" t="s">
        <v>113</v>
      </c>
      <c r="C10" s="3" t="s">
        <v>114</v>
      </c>
      <c r="D10" s="3">
        <v>720</v>
      </c>
      <c r="E10" s="3">
        <v>360</v>
      </c>
      <c r="F10" s="3">
        <v>40</v>
      </c>
      <c r="G10" s="3">
        <v>62</v>
      </c>
      <c r="H10" s="3">
        <v>15</v>
      </c>
      <c r="I10" s="3">
        <v>75</v>
      </c>
      <c r="J10" s="3">
        <v>1.5</v>
      </c>
      <c r="K10" s="3">
        <v>115</v>
      </c>
      <c r="L10">
        <f>IFERROR(VALUE(LEFT(C10,FIND(" ",C10)-1)), "")</f>
        <v>9.5</v>
      </c>
    </row>
    <row r="11" spans="1:12" x14ac:dyDescent="0.3">
      <c r="A11" s="3" t="s">
        <v>96</v>
      </c>
      <c r="B11" s="3" t="s">
        <v>115</v>
      </c>
      <c r="C11" s="3" t="s">
        <v>116</v>
      </c>
      <c r="D11" s="3">
        <v>380</v>
      </c>
      <c r="E11" s="3">
        <v>150</v>
      </c>
      <c r="F11" s="3">
        <v>17</v>
      </c>
      <c r="G11" s="3">
        <v>26</v>
      </c>
      <c r="H11" s="3">
        <v>8</v>
      </c>
      <c r="I11" s="3">
        <v>40</v>
      </c>
      <c r="J11" s="3">
        <v>1</v>
      </c>
      <c r="K11" s="3">
        <v>75</v>
      </c>
      <c r="L11">
        <f>IFERROR(VALUE(LEFT(C11,FIND(" ",C11)-1)), "")</f>
        <v>5.2</v>
      </c>
    </row>
    <row r="12" spans="1:12" x14ac:dyDescent="0.3">
      <c r="A12" s="3" t="s">
        <v>96</v>
      </c>
      <c r="B12" s="3" t="s">
        <v>117</v>
      </c>
      <c r="C12" s="3" t="s">
        <v>25</v>
      </c>
      <c r="D12" s="3">
        <v>440</v>
      </c>
      <c r="E12" s="3">
        <v>200</v>
      </c>
      <c r="F12" s="3">
        <v>22</v>
      </c>
      <c r="G12" s="3">
        <v>34</v>
      </c>
      <c r="H12" s="3">
        <v>10</v>
      </c>
      <c r="I12" s="3">
        <v>49</v>
      </c>
      <c r="J12" s="3">
        <v>1</v>
      </c>
      <c r="K12" s="3">
        <v>90</v>
      </c>
      <c r="L12">
        <f>IFERROR(VALUE(LEFT(C12,FIND(" ",C12)-1)), "")</f>
        <v>5.7</v>
      </c>
    </row>
    <row r="13" spans="1:12" x14ac:dyDescent="0.3">
      <c r="A13" s="3" t="s">
        <v>96</v>
      </c>
      <c r="B13" s="3" t="s">
        <v>118</v>
      </c>
      <c r="C13" s="3" t="s">
        <v>119</v>
      </c>
      <c r="D13" s="3">
        <v>430</v>
      </c>
      <c r="E13" s="3">
        <v>200</v>
      </c>
      <c r="F13" s="3">
        <v>22</v>
      </c>
      <c r="G13" s="3">
        <v>35</v>
      </c>
      <c r="H13" s="3">
        <v>9</v>
      </c>
      <c r="I13" s="3">
        <v>44</v>
      </c>
      <c r="J13" s="3">
        <v>1</v>
      </c>
      <c r="K13" s="3">
        <v>80</v>
      </c>
      <c r="L13">
        <f>IFERROR(VALUE(LEFT(C13,FIND(" ",C13)-1)), "")</f>
        <v>6.7</v>
      </c>
    </row>
    <row r="14" spans="1:12" x14ac:dyDescent="0.3">
      <c r="A14" s="3" t="s">
        <v>96</v>
      </c>
      <c r="B14" s="3" t="s">
        <v>120</v>
      </c>
      <c r="C14" s="3" t="s">
        <v>121</v>
      </c>
      <c r="D14" s="3">
        <v>430</v>
      </c>
      <c r="E14" s="3">
        <v>210</v>
      </c>
      <c r="F14" s="3">
        <v>23</v>
      </c>
      <c r="G14" s="3">
        <v>36</v>
      </c>
      <c r="H14" s="3">
        <v>9</v>
      </c>
      <c r="I14" s="3">
        <v>44</v>
      </c>
      <c r="J14" s="3">
        <v>1</v>
      </c>
      <c r="K14" s="3">
        <v>80</v>
      </c>
      <c r="L14">
        <f>IFERROR(VALUE(LEFT(C14,FIND(" ",C14)-1)), "")</f>
        <v>5.6</v>
      </c>
    </row>
    <row r="15" spans="1:12" x14ac:dyDescent="0.3">
      <c r="A15" s="3" t="s">
        <v>96</v>
      </c>
      <c r="B15" s="3" t="s">
        <v>122</v>
      </c>
      <c r="C15" s="3" t="s">
        <v>123</v>
      </c>
      <c r="D15" s="3">
        <v>500</v>
      </c>
      <c r="E15" s="3">
        <v>240</v>
      </c>
      <c r="F15" s="3">
        <v>26</v>
      </c>
      <c r="G15" s="3">
        <v>40</v>
      </c>
      <c r="H15" s="3">
        <v>10</v>
      </c>
      <c r="I15" s="3">
        <v>48</v>
      </c>
      <c r="J15" s="3">
        <v>0</v>
      </c>
      <c r="K15" s="3">
        <v>70</v>
      </c>
      <c r="L15">
        <f>IFERROR(VALUE(LEFT(C15,FIND(" ",C15)-1)), "")</f>
        <v>7.3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9CB0-1DA0-4F7B-8627-9B2AF10E0545}">
  <dimension ref="A1:F13"/>
  <sheetViews>
    <sheetView workbookViewId="0">
      <selection activeCell="F14" sqref="F14"/>
    </sheetView>
  </sheetViews>
  <sheetFormatPr defaultRowHeight="14.4" x14ac:dyDescent="0.3"/>
  <sheetData>
    <row r="1" spans="1:6" x14ac:dyDescent="0.3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</row>
    <row r="2" spans="1:6" x14ac:dyDescent="0.3">
      <c r="A2" t="s">
        <v>3</v>
      </c>
      <c r="B2">
        <f>AVERAGE(jj!D2:D234)</f>
        <v>397.76824034334766</v>
      </c>
      <c r="C2">
        <f>MEDIAN(jj!D2:D234)</f>
        <v>360</v>
      </c>
      <c r="D2">
        <f>MIN(jj!D2:D234)</f>
        <v>0</v>
      </c>
      <c r="E2">
        <f>MAX(jj!D2:D234)</f>
        <v>1880</v>
      </c>
      <c r="F2">
        <f>_xlfn.STDEV.S(jj!D2:D234)</f>
        <v>234.37085154929568</v>
      </c>
    </row>
    <row r="3" spans="1:6" x14ac:dyDescent="0.3">
      <c r="A3" t="s">
        <v>396</v>
      </c>
      <c r="B3">
        <f>AVERAGE(jj!F2:F234)</f>
        <v>15.796137339055795</v>
      </c>
      <c r="C3">
        <f>MEDIAN(jj!F2:F234)</f>
        <v>14</v>
      </c>
      <c r="D3">
        <f>MIN(jj!F2:F234)</f>
        <v>0</v>
      </c>
      <c r="E3">
        <f>MAX(jj!F2:F234)</f>
        <v>118</v>
      </c>
      <c r="F3">
        <f>_xlfn.STDEV.S(jj!F2:F234)</f>
        <v>14.126287936949621</v>
      </c>
    </row>
    <row r="4" spans="1:6" x14ac:dyDescent="0.3">
      <c r="A4" t="s">
        <v>13</v>
      </c>
      <c r="B4" t="e">
        <f>AVERAGE(#REF!)</f>
        <v>#REF!</v>
      </c>
      <c r="C4" t="e">
        <f>MEDIAN(#REF!)</f>
        <v>#REF!</v>
      </c>
      <c r="D4" t="e">
        <f>MIN(#REF!)</f>
        <v>#REF!</v>
      </c>
      <c r="E4" t="e">
        <f>MAX(#REF!)</f>
        <v>#REF!</v>
      </c>
      <c r="F4" t="e">
        <f>_xlfn.STDEV.S(#REF!)</f>
        <v>#REF!</v>
      </c>
    </row>
    <row r="5" spans="1:6" x14ac:dyDescent="0.3">
      <c r="A5" t="s">
        <v>397</v>
      </c>
      <c r="B5" t="e">
        <f>AVERAGE(#REF!)</f>
        <v>#REF!</v>
      </c>
      <c r="C5" t="e">
        <f>MEDIAN(#REF!)</f>
        <v>#REF!</v>
      </c>
      <c r="D5" t="e">
        <f>MIN(#REF!)</f>
        <v>#REF!</v>
      </c>
      <c r="E5" t="e">
        <f>MAX(#REF!)</f>
        <v>#REF!</v>
      </c>
      <c r="F5" t="e">
        <f>_xlfn.STDEV.S(#REF!)</f>
        <v>#REF!</v>
      </c>
    </row>
    <row r="6" spans="1:6" x14ac:dyDescent="0.3">
      <c r="A6" t="s">
        <v>11</v>
      </c>
      <c r="B6" t="e">
        <f>AVERAGE(#REF!)</f>
        <v>#REF!</v>
      </c>
      <c r="C6" t="e">
        <f>MEDIAN(#REF!)</f>
        <v>#REF!</v>
      </c>
      <c r="D6" t="e">
        <f>MIN(#REF!)</f>
        <v>#REF!</v>
      </c>
      <c r="E6" t="e">
        <f>MAX(#REF!)</f>
        <v>#REF!</v>
      </c>
      <c r="F6" t="e">
        <f>_xlfn.STDEV.S(#REF!)</f>
        <v>#REF!</v>
      </c>
    </row>
    <row r="7" spans="1:6" x14ac:dyDescent="0.3">
      <c r="A7" t="s">
        <v>398</v>
      </c>
      <c r="B7">
        <f>AVERAGE(jj!K2:K234)</f>
        <v>61.24463519313305</v>
      </c>
      <c r="C7">
        <f>MEDIAN(jj!K2:K234)</f>
        <v>35</v>
      </c>
      <c r="D7">
        <f>MIN(jj!K2:K234)</f>
        <v>0</v>
      </c>
      <c r="E7">
        <f>MAX(jj!K2:K234)</f>
        <v>575</v>
      </c>
      <c r="F7">
        <f>_xlfn.STDEV.S(jj!K2:K234)</f>
        <v>90.097864794296555</v>
      </c>
    </row>
    <row r="8" spans="1:6" x14ac:dyDescent="0.3">
      <c r="A8" t="s">
        <v>399</v>
      </c>
      <c r="B8" t="e">
        <f>AVERAGE(#REF!)</f>
        <v>#REF!</v>
      </c>
      <c r="C8" t="e">
        <f>MEDIAN(#REF!)</f>
        <v>#REF!</v>
      </c>
      <c r="D8" t="e">
        <f>MIN(#REF!)</f>
        <v>#REF!</v>
      </c>
      <c r="E8" t="e">
        <f>MAX(#REF!)</f>
        <v>#REF!</v>
      </c>
      <c r="F8" t="e">
        <f>_xlfn.STDEV.S(#REF!)</f>
        <v>#REF!</v>
      </c>
    </row>
    <row r="9" spans="1:6" x14ac:dyDescent="0.3">
      <c r="A9" t="s">
        <v>400</v>
      </c>
      <c r="B9" t="e">
        <f>AVERAGE(#REF!)</f>
        <v>#REF!</v>
      </c>
      <c r="C9" t="e">
        <f>MEDIAN(#REF!)</f>
        <v>#REF!</v>
      </c>
      <c r="D9" t="e">
        <f>MIN(#REF!)</f>
        <v>#REF!</v>
      </c>
      <c r="E9" t="e">
        <f>MAX(#REF!)</f>
        <v>#REF!</v>
      </c>
      <c r="F9" t="e">
        <f>_xlfn.STDEV.S(#REF!)</f>
        <v>#REF!</v>
      </c>
    </row>
    <row r="10" spans="1:6" x14ac:dyDescent="0.3">
      <c r="A10" t="s">
        <v>401</v>
      </c>
      <c r="B10" t="e">
        <f>AVERAGE(#REF!)</f>
        <v>#REF!</v>
      </c>
      <c r="C10" t="e">
        <f>MEDIAN(#REF!)</f>
        <v>#REF!</v>
      </c>
      <c r="D10" t="e">
        <f>MIN(#REF!)</f>
        <v>#REF!</v>
      </c>
      <c r="E10" t="e">
        <f>MAX(#REF!)</f>
        <v>#REF!</v>
      </c>
      <c r="F10" t="e">
        <f>_xlfn.STDEV.S(#REF!)</f>
        <v>#REF!</v>
      </c>
    </row>
    <row r="11" spans="1:6" x14ac:dyDescent="0.3">
      <c r="A11" t="s">
        <v>402</v>
      </c>
      <c r="B11" t="e">
        <f>AVERAGE(#REF!)</f>
        <v>#REF!</v>
      </c>
      <c r="C11" t="e">
        <f>MEDIAN(#REF!)</f>
        <v>#REF!</v>
      </c>
      <c r="D11" t="e">
        <f>MIN(#REF!)</f>
        <v>#REF!</v>
      </c>
      <c r="E11" t="e">
        <f>MAX(#REF!)</f>
        <v>#REF!</v>
      </c>
      <c r="F11" t="e">
        <f>_xlfn.STDEV.S(#REF!)</f>
        <v>#REF!</v>
      </c>
    </row>
    <row r="12" spans="1:6" x14ac:dyDescent="0.3">
      <c r="A12" t="s">
        <v>403</v>
      </c>
      <c r="B12" t="e">
        <f>AVERAGE(#REF!)</f>
        <v>#REF!</v>
      </c>
      <c r="C12" t="e">
        <f>MEDIAN(#REF!)</f>
        <v>#REF!</v>
      </c>
      <c r="D12" t="e">
        <f>MIN(#REF!)</f>
        <v>#REF!</v>
      </c>
      <c r="E12" t="e">
        <f>MAX(#REF!)</f>
        <v>#REF!</v>
      </c>
      <c r="F12" t="e">
        <f>_xlfn.STDEV.S(#REF!)</f>
        <v>#REF!</v>
      </c>
    </row>
    <row r="13" spans="1:6" x14ac:dyDescent="0.3">
      <c r="A13" t="s">
        <v>404</v>
      </c>
      <c r="B13" t="e">
        <f>AVERAGE(#REF!)</f>
        <v>#REF!</v>
      </c>
      <c r="C13" t="e">
        <f>MEDIAN(#REF!)</f>
        <v>#REF!</v>
      </c>
      <c r="D13" t="e">
        <f>MIN(#REF!)</f>
        <v>#REF!</v>
      </c>
      <c r="E13" t="e">
        <f>MAX(#REF!)</f>
        <v>#REF!</v>
      </c>
      <c r="F13" t="e">
        <f>_xlfn.STDEV.S(#REF!)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Sheet2</vt:lpstr>
      <vt:lpstr>Sheet9</vt:lpstr>
      <vt:lpstr>jj</vt:lpstr>
      <vt:lpstr>smoothies and shakes</vt:lpstr>
      <vt:lpstr>coffee and tea</vt:lpstr>
      <vt:lpstr>dessert</vt:lpstr>
      <vt:lpstr>snacks and sides</vt:lpstr>
      <vt:lpstr>salads</vt:lpstr>
      <vt:lpstr>breakfast</vt:lpstr>
      <vt:lpstr>Sheet4</vt:lpstr>
      <vt:lpstr>beef and pork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Perewar</dc:creator>
  <cp:lastModifiedBy>Rishabh Perewar</cp:lastModifiedBy>
  <dcterms:created xsi:type="dcterms:W3CDTF">2025-04-16T19:02:31Z</dcterms:created>
  <dcterms:modified xsi:type="dcterms:W3CDTF">2025-04-25T15:09:58Z</dcterms:modified>
</cp:coreProperties>
</file>